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6\SG\"/>
    </mc:Choice>
  </mc:AlternateContent>
  <xr:revisionPtr revIDLastSave="0" documentId="13_ncr:1_{982FBD98-FE1D-430B-A36A-4E4C9A5DC8C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eacion agregada" sheetId="1" r:id="rId1"/>
    <sheet name="MR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27" i="1"/>
  <c r="B31" i="1" s="1"/>
  <c r="B32" i="1" s="1"/>
  <c r="B29" i="1"/>
  <c r="B30" i="1" s="1"/>
  <c r="K29" i="1"/>
  <c r="B21" i="1"/>
  <c r="B17" i="1"/>
  <c r="C4" i="1"/>
  <c r="C7" i="1" s="1"/>
  <c r="B4" i="1"/>
  <c r="B7" i="1" s="1"/>
  <c r="B46" i="1" l="1"/>
  <c r="B40" i="1"/>
  <c r="B42" i="1" s="1"/>
  <c r="B43" i="1" s="1"/>
  <c r="B45" i="1" s="1"/>
  <c r="C8" i="1"/>
</calcChain>
</file>

<file path=xl/sharedStrings.xml><?xml version="1.0" encoding="utf-8"?>
<sst xmlns="http://schemas.openxmlformats.org/spreadsheetml/2006/main" count="157" uniqueCount="56">
  <si>
    <t>Semanas</t>
  </si>
  <si>
    <t>Inventario Inicial</t>
  </si>
  <si>
    <t>Req. de producción</t>
  </si>
  <si>
    <t>Componente</t>
  </si>
  <si>
    <t>Necesidades brutas</t>
  </si>
  <si>
    <t>Hs requeridas</t>
  </si>
  <si>
    <t>Tamaño de lote</t>
  </si>
  <si>
    <t>Días hábiles / mes</t>
  </si>
  <si>
    <t>Entradas programadas</t>
  </si>
  <si>
    <t>Hs / trabajador / mes</t>
  </si>
  <si>
    <t>A la mano</t>
  </si>
  <si>
    <t>Saldo disponible</t>
  </si>
  <si>
    <t>Trabajadores req.</t>
  </si>
  <si>
    <t>Tiempo de espera</t>
  </si>
  <si>
    <t>Necesidades netas</t>
  </si>
  <si>
    <t>Trabaj. contratados</t>
  </si>
  <si>
    <t xml:space="preserve">Existencias de seg. </t>
  </si>
  <si>
    <t>Entradas de pedido</t>
  </si>
  <si>
    <t>Costo contratación</t>
  </si>
  <si>
    <t>Despidos</t>
  </si>
  <si>
    <t>Expedición de pedidos</t>
  </si>
  <si>
    <t>Costo despidos</t>
  </si>
  <si>
    <t>Costo tpo. normal</t>
  </si>
  <si>
    <t>Costo Total</t>
  </si>
  <si>
    <t>Inventario inicial</t>
  </si>
  <si>
    <t>Hs disponibles</t>
  </si>
  <si>
    <t>Producción real</t>
  </si>
  <si>
    <t>Demanda pronost.</t>
  </si>
  <si>
    <t>Inventario final</t>
  </si>
  <si>
    <t>Costo por faltante</t>
  </si>
  <si>
    <t>Costo inventario</t>
  </si>
  <si>
    <t>Hs prod. disponibles</t>
  </si>
  <si>
    <t>Unidades subcont.</t>
  </si>
  <si>
    <t>Costo subcont.</t>
  </si>
  <si>
    <t>Producción normal</t>
  </si>
  <si>
    <t>Uni. disp. antes TEx</t>
  </si>
  <si>
    <t>Tiempo extra (hs)</t>
  </si>
  <si>
    <t>Costo tpo. extra</t>
  </si>
  <si>
    <t>Costo tpo normal</t>
  </si>
  <si>
    <t>Detalle</t>
  </si>
  <si>
    <t>Enero</t>
  </si>
  <si>
    <t>Febrero</t>
  </si>
  <si>
    <t>Marzo</t>
  </si>
  <si>
    <t>Abril</t>
  </si>
  <si>
    <t>Mayo</t>
  </si>
  <si>
    <t>Junio</t>
  </si>
  <si>
    <t>Total</t>
  </si>
  <si>
    <t>-</t>
  </si>
  <si>
    <t>Trabajadores</t>
  </si>
  <si>
    <t>7600?</t>
  </si>
  <si>
    <t>Fuerza cte, subcontratación</t>
  </si>
  <si>
    <t>mes con menos demanda</t>
  </si>
  <si>
    <t>cant empleados</t>
  </si>
  <si>
    <t>Fuerza cte, tiempo extra</t>
  </si>
  <si>
    <t>Empleados</t>
  </si>
  <si>
    <t>Plan Agregado / Plan 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</si>
</sst>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0" borderId="1" xfId="0" quotePrefix="1" applyFont="1" applyBorder="1"/>
    <xf numFmtId="0" fontId="1" fillId="3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opLeftCell="A38" workbookViewId="0">
      <selection activeCell="B50" sqref="B50"/>
    </sheetView>
  </sheetViews>
  <sheetFormatPr baseColWidth="10" defaultColWidth="12.7109375" defaultRowHeight="15.75" customHeight="1" x14ac:dyDescent="0.2"/>
  <cols>
    <col min="1" max="1" width="37.7109375" customWidth="1"/>
    <col min="2" max="10" width="11.140625" customWidth="1"/>
  </cols>
  <sheetData>
    <row r="1" spans="1:27" ht="15.75" customHeight="1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5" t="s">
        <v>1</v>
      </c>
      <c r="B2" s="1">
        <v>400</v>
      </c>
      <c r="C2" s="1">
        <v>0</v>
      </c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">
      <c r="A3" s="5" t="s">
        <v>2</v>
      </c>
      <c r="B3" s="1">
        <v>1800</v>
      </c>
      <c r="C3" s="1">
        <v>1500</v>
      </c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">
      <c r="A4" s="5" t="s">
        <v>5</v>
      </c>
      <c r="B4" s="1">
        <f>(B3-B2)*5</f>
        <v>7000</v>
      </c>
      <c r="C4" s="1">
        <f>(C3-C2)*5</f>
        <v>7500</v>
      </c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">
      <c r="A5" s="5" t="s">
        <v>7</v>
      </c>
      <c r="B5" s="1">
        <v>22</v>
      </c>
      <c r="C5" s="1">
        <v>19</v>
      </c>
      <c r="D5" s="1"/>
      <c r="E5" s="1"/>
      <c r="F5" s="1"/>
      <c r="G5" s="1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">
      <c r="A6" s="5" t="s">
        <v>9</v>
      </c>
      <c r="B6" s="1">
        <v>176</v>
      </c>
      <c r="C6" s="1">
        <v>152</v>
      </c>
      <c r="D6" s="1"/>
      <c r="E6" s="1"/>
      <c r="F6" s="1"/>
      <c r="G6" s="1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">
      <c r="A7" s="5" t="s">
        <v>12</v>
      </c>
      <c r="B7" s="1">
        <f>B4/B6</f>
        <v>39.772727272727273</v>
      </c>
      <c r="C7" s="1">
        <f>C4/(C6)</f>
        <v>49.342105263157897</v>
      </c>
      <c r="D7" s="1"/>
      <c r="E7" s="1"/>
      <c r="F7" s="1"/>
      <c r="G7" s="1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">
      <c r="A8" s="5" t="s">
        <v>15</v>
      </c>
      <c r="B8" s="9" t="s">
        <v>47</v>
      </c>
      <c r="C8" s="1">
        <f>C7-B7</f>
        <v>9.569377990430624</v>
      </c>
      <c r="D8" s="1"/>
      <c r="E8" s="1"/>
      <c r="F8" s="1"/>
      <c r="G8" s="1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">
      <c r="A9" s="5" t="s">
        <v>18</v>
      </c>
      <c r="B9" s="9" t="s">
        <v>47</v>
      </c>
      <c r="C9" s="1">
        <v>2000</v>
      </c>
      <c r="D9" s="1"/>
      <c r="E9" s="1"/>
      <c r="F9" s="1"/>
      <c r="G9" s="1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A10" s="5" t="s">
        <v>19</v>
      </c>
      <c r="B10" s="9" t="s">
        <v>47</v>
      </c>
      <c r="C10" s="9" t="s">
        <v>47</v>
      </c>
      <c r="D10" s="1"/>
      <c r="E10" s="1"/>
      <c r="F10" s="1"/>
      <c r="G10" s="1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A11" s="5" t="s">
        <v>21</v>
      </c>
      <c r="B11" s="9" t="s">
        <v>47</v>
      </c>
      <c r="C11" s="9" t="s">
        <v>47</v>
      </c>
      <c r="D11" s="1"/>
      <c r="E11" s="1"/>
      <c r="F11" s="1"/>
      <c r="G11" s="1"/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A12" s="5" t="s">
        <v>22</v>
      </c>
      <c r="B12" s="1">
        <v>28000</v>
      </c>
      <c r="C12" s="1">
        <v>30000</v>
      </c>
      <c r="D12" s="1"/>
      <c r="E12" s="1"/>
      <c r="F12" s="1"/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">
      <c r="A13" s="5" t="s">
        <v>23</v>
      </c>
      <c r="B13" s="13"/>
      <c r="C13" s="11"/>
      <c r="D13" s="11"/>
      <c r="E13" s="11"/>
      <c r="F13" s="11"/>
      <c r="G13" s="12"/>
      <c r="H13" s="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">
      <c r="A14" s="10"/>
      <c r="B14" s="11"/>
      <c r="C14" s="11"/>
      <c r="D14" s="11"/>
      <c r="E14" s="11"/>
      <c r="F14" s="11"/>
      <c r="G14" s="11"/>
      <c r="H14" s="1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">
      <c r="A15" s="5" t="s">
        <v>24</v>
      </c>
      <c r="B15" s="1">
        <v>400</v>
      </c>
      <c r="C15" s="1"/>
      <c r="D15" s="1"/>
      <c r="E15" s="1"/>
      <c r="F15" s="1"/>
      <c r="G15" s="1"/>
      <c r="H15" s="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5" t="s">
        <v>7</v>
      </c>
      <c r="B16" s="1">
        <v>22</v>
      </c>
      <c r="C16" s="1"/>
      <c r="D16" s="1"/>
      <c r="E16" s="1"/>
      <c r="F16" s="1"/>
      <c r="G16" s="1"/>
      <c r="H16" s="1"/>
      <c r="I16" s="3"/>
      <c r="J16" s="3">
        <v>38</v>
      </c>
      <c r="K16" s="3" t="s">
        <v>48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">
      <c r="A17" s="5" t="s">
        <v>25</v>
      </c>
      <c r="B17" s="1">
        <f>B16*8*38</f>
        <v>6688</v>
      </c>
      <c r="C17" s="1"/>
      <c r="D17" s="1"/>
      <c r="E17" s="1"/>
      <c r="F17" s="1"/>
      <c r="G17" s="1"/>
      <c r="H17" s="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">
      <c r="A18" s="5" t="s">
        <v>26</v>
      </c>
      <c r="B18" s="1"/>
      <c r="C18" s="1"/>
      <c r="D18" s="1"/>
      <c r="E18" s="1"/>
      <c r="F18" s="1"/>
      <c r="G18" s="1"/>
      <c r="H18" s="1"/>
      <c r="I18" s="3"/>
      <c r="J18" s="3" t="s">
        <v>49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">
      <c r="A19" s="5" t="s">
        <v>27</v>
      </c>
      <c r="B19" s="1"/>
      <c r="C19" s="1"/>
      <c r="D19" s="1"/>
      <c r="E19" s="1"/>
      <c r="F19" s="1"/>
      <c r="G19" s="1"/>
      <c r="H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">
      <c r="A20" s="5" t="s">
        <v>28</v>
      </c>
      <c r="B20" s="1">
        <v>-63</v>
      </c>
      <c r="C20" s="1"/>
      <c r="D20" s="1"/>
      <c r="E20" s="1"/>
      <c r="F20" s="1"/>
      <c r="G20" s="1"/>
      <c r="H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">
      <c r="A21" s="5" t="s">
        <v>29</v>
      </c>
      <c r="B21" s="1">
        <f>B20*5</f>
        <v>-315</v>
      </c>
      <c r="C21" s="1"/>
      <c r="D21" s="1"/>
      <c r="E21" s="1"/>
      <c r="F21" s="1"/>
      <c r="G21" s="1"/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">
      <c r="A22" s="5" t="s">
        <v>30</v>
      </c>
      <c r="B22" s="9" t="s">
        <v>47</v>
      </c>
      <c r="C22" s="1"/>
      <c r="D22" s="1"/>
      <c r="E22" s="1"/>
      <c r="F22" s="1"/>
      <c r="G22" s="1"/>
      <c r="H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">
      <c r="A23" s="5" t="s">
        <v>22</v>
      </c>
      <c r="B23" s="1"/>
      <c r="C23" s="1"/>
      <c r="D23" s="1"/>
      <c r="E23" s="1"/>
      <c r="F23" s="1"/>
      <c r="G23" s="1"/>
      <c r="H23" s="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">
      <c r="A24" s="5" t="s">
        <v>23</v>
      </c>
      <c r="B24" s="13"/>
      <c r="C24" s="11"/>
      <c r="D24" s="11"/>
      <c r="E24" s="11"/>
      <c r="F24" s="11"/>
      <c r="G24" s="12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">
      <c r="A25" s="10" t="s">
        <v>50</v>
      </c>
      <c r="B25" s="11"/>
      <c r="C25" s="11"/>
      <c r="D25" s="11"/>
      <c r="E25" s="11"/>
      <c r="F25" s="11"/>
      <c r="G25" s="11"/>
      <c r="H25" s="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">
      <c r="A26" s="5" t="s">
        <v>24</v>
      </c>
      <c r="B26" s="1">
        <v>400</v>
      </c>
      <c r="C26" s="1"/>
      <c r="D26" s="1"/>
      <c r="E26" s="1"/>
      <c r="F26" s="1"/>
      <c r="G26" s="1"/>
      <c r="H26" s="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">
      <c r="A27" s="5" t="s">
        <v>2</v>
      </c>
      <c r="B27" s="1">
        <f>1800-B26</f>
        <v>1400</v>
      </c>
      <c r="C27" s="1"/>
      <c r="D27" s="1"/>
      <c r="E27" s="1"/>
      <c r="F27" s="1"/>
      <c r="G27" s="1"/>
      <c r="H27" s="1"/>
      <c r="I27" s="3"/>
      <c r="J27" s="3" t="s">
        <v>51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">
      <c r="A28" s="5" t="s">
        <v>7</v>
      </c>
      <c r="B28" s="1">
        <v>22</v>
      </c>
      <c r="C28" s="1"/>
      <c r="D28" s="1"/>
      <c r="E28" s="1"/>
      <c r="F28" s="1"/>
      <c r="G28" s="1"/>
      <c r="H28" s="1"/>
      <c r="I28" s="3"/>
      <c r="J28" s="3">
        <v>900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">
      <c r="A29" s="5" t="s">
        <v>31</v>
      </c>
      <c r="B29" s="1">
        <f>B28*8*26</f>
        <v>4576</v>
      </c>
      <c r="C29" s="1"/>
      <c r="D29" s="1"/>
      <c r="E29" s="1"/>
      <c r="F29" s="1"/>
      <c r="G29" s="1"/>
      <c r="H29" s="1"/>
      <c r="I29" s="3"/>
      <c r="J29" s="3" t="s">
        <v>52</v>
      </c>
      <c r="K29" s="3">
        <f>J28*5/(8*21)</f>
        <v>26.785714285714285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">
      <c r="A30" s="5" t="s">
        <v>26</v>
      </c>
      <c r="B30" s="1">
        <f>B29/5</f>
        <v>915.2</v>
      </c>
      <c r="C30" s="1"/>
      <c r="D30" s="1"/>
      <c r="E30" s="1"/>
      <c r="F30" s="1"/>
      <c r="G30" s="1"/>
      <c r="H30" s="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">
      <c r="A31" s="5" t="s">
        <v>32</v>
      </c>
      <c r="B31" s="1">
        <f>B27-B30</f>
        <v>484.79999999999995</v>
      </c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">
      <c r="A32" s="5" t="s">
        <v>33</v>
      </c>
      <c r="B32" s="1">
        <f>B31*20</f>
        <v>9696</v>
      </c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">
      <c r="A33" s="5" t="s">
        <v>30</v>
      </c>
      <c r="B33" s="9" t="s">
        <v>47</v>
      </c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">
      <c r="A34" s="5" t="s">
        <v>22</v>
      </c>
      <c r="B34" s="1">
        <v>18300</v>
      </c>
      <c r="C34" s="1"/>
      <c r="D34" s="1"/>
      <c r="E34" s="1"/>
      <c r="F34" s="1"/>
      <c r="G34" s="1"/>
      <c r="H34" s="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">
      <c r="A35" s="5" t="s">
        <v>23</v>
      </c>
      <c r="B35" s="13"/>
      <c r="C35" s="11"/>
      <c r="D35" s="11"/>
      <c r="E35" s="11"/>
      <c r="F35" s="11"/>
      <c r="G35" s="12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">
      <c r="A36" s="10" t="s">
        <v>53</v>
      </c>
      <c r="B36" s="11"/>
      <c r="C36" s="11"/>
      <c r="D36" s="11"/>
      <c r="E36" s="11"/>
      <c r="F36" s="11"/>
      <c r="G36" s="11"/>
      <c r="H36" s="1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">
      <c r="A37" s="5" t="s">
        <v>24</v>
      </c>
      <c r="B37" s="1">
        <v>400</v>
      </c>
      <c r="C37" s="1"/>
      <c r="D37" s="1"/>
      <c r="E37" s="1"/>
      <c r="F37" s="1"/>
      <c r="G37" s="1"/>
      <c r="H37" s="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">
      <c r="A38" s="5" t="s">
        <v>7</v>
      </c>
      <c r="B38" s="1">
        <v>22</v>
      </c>
      <c r="C38" s="1"/>
      <c r="D38" s="1"/>
      <c r="E38" s="1"/>
      <c r="F38" s="1"/>
      <c r="G38" s="1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">
      <c r="A39" s="5" t="s">
        <v>25</v>
      </c>
      <c r="B39" s="1">
        <f>K41*B38*8</f>
        <v>5632</v>
      </c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">
      <c r="A40" s="5" t="s">
        <v>34</v>
      </c>
      <c r="B40" s="1">
        <f>B39/5</f>
        <v>1126.4000000000001</v>
      </c>
      <c r="C40" s="1"/>
      <c r="D40" s="1"/>
      <c r="E40" s="1"/>
      <c r="F40" s="1"/>
      <c r="G40" s="1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">
      <c r="A41" s="5" t="s">
        <v>27</v>
      </c>
      <c r="B41" s="1">
        <v>1800</v>
      </c>
      <c r="C41" s="1"/>
      <c r="D41" s="1"/>
      <c r="E41" s="1"/>
      <c r="F41" s="1"/>
      <c r="G41" s="1"/>
      <c r="H41" s="1"/>
      <c r="I41" s="3"/>
      <c r="J41" s="3" t="s">
        <v>54</v>
      </c>
      <c r="K41" s="3">
        <v>32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">
      <c r="A42" s="5" t="s">
        <v>35</v>
      </c>
      <c r="B42" s="1">
        <f>B41-B37-B40</f>
        <v>273.59999999999991</v>
      </c>
      <c r="C42" s="1"/>
      <c r="D42" s="1"/>
      <c r="E42" s="1"/>
      <c r="F42" s="1"/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">
      <c r="A43" s="5" t="s">
        <v>36</v>
      </c>
      <c r="B43" s="1">
        <f>B42*5</f>
        <v>1367.9999999999995</v>
      </c>
      <c r="C43" s="1"/>
      <c r="D43" s="1"/>
      <c r="E43" s="1"/>
      <c r="F43" s="1"/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">
      <c r="A44" s="5" t="s">
        <v>30</v>
      </c>
      <c r="B44" s="9" t="s">
        <v>47</v>
      </c>
      <c r="C44" s="1"/>
      <c r="D44" s="1"/>
      <c r="E44" s="1"/>
      <c r="F44" s="1"/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">
      <c r="A45" s="5" t="s">
        <v>37</v>
      </c>
      <c r="B45" s="1">
        <f>B43*6</f>
        <v>8207.9999999999964</v>
      </c>
      <c r="C45" s="1"/>
      <c r="D45" s="1"/>
      <c r="E45" s="1"/>
      <c r="F45" s="1"/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">
      <c r="A46" s="5" t="s">
        <v>38</v>
      </c>
      <c r="B46" s="1">
        <f>B39*4</f>
        <v>22528</v>
      </c>
      <c r="C46" s="1"/>
      <c r="D46" s="1"/>
      <c r="E46" s="1"/>
      <c r="F46" s="1"/>
      <c r="G46" s="1"/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">
      <c r="A47" s="5" t="s">
        <v>23</v>
      </c>
      <c r="B47" s="13"/>
      <c r="C47" s="11"/>
      <c r="D47" s="11"/>
      <c r="E47" s="11"/>
      <c r="F47" s="11"/>
      <c r="G47" s="12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">
      <c r="A49" s="3"/>
      <c r="B49" s="3" t="s">
        <v>55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2.7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7">
    <mergeCell ref="A36:H36"/>
    <mergeCell ref="B47:G47"/>
    <mergeCell ref="B13:G13"/>
    <mergeCell ref="A14:H14"/>
    <mergeCell ref="B24:G24"/>
    <mergeCell ref="A25:H25"/>
    <mergeCell ref="B35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99"/>
  <sheetViews>
    <sheetView tabSelected="1" topLeftCell="A4" workbookViewId="0">
      <selection activeCell="M2" sqref="M2"/>
    </sheetView>
  </sheetViews>
  <sheetFormatPr baseColWidth="10" defaultColWidth="12.7109375" defaultRowHeight="15.75" customHeight="1" x14ac:dyDescent="0.2"/>
  <cols>
    <col min="1" max="1" width="15.7109375" customWidth="1"/>
    <col min="2" max="2" width="2.7109375" customWidth="1"/>
    <col min="3" max="3" width="22" customWidth="1"/>
    <col min="4" max="16" width="4.42578125" customWidth="1"/>
  </cols>
  <sheetData>
    <row r="1" spans="1:24" ht="15.75" customHeight="1" x14ac:dyDescent="0.2">
      <c r="A1" s="1"/>
      <c r="B1" s="1"/>
      <c r="C1" s="2" t="s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2">
      <c r="A2" s="6" t="s">
        <v>3</v>
      </c>
      <c r="B2" s="1"/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2">
      <c r="A3" s="1" t="s">
        <v>6</v>
      </c>
      <c r="B3" s="1"/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 t="s">
        <v>10</v>
      </c>
      <c r="B4" s="1"/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1" t="s">
        <v>13</v>
      </c>
      <c r="B5" s="1"/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2">
      <c r="A6" s="1" t="s">
        <v>16</v>
      </c>
      <c r="B6" s="1"/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2">
      <c r="A7" s="1"/>
      <c r="B7" s="1"/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2">
      <c r="A9" s="6" t="s">
        <v>3</v>
      </c>
      <c r="B9" s="1"/>
      <c r="C9" s="1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2">
      <c r="A10" s="1" t="s">
        <v>6</v>
      </c>
      <c r="B10" s="1"/>
      <c r="C10" s="1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2">
      <c r="A11" s="1" t="s">
        <v>10</v>
      </c>
      <c r="B11" s="1"/>
      <c r="C11" s="1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2">
      <c r="A12" s="1" t="s">
        <v>13</v>
      </c>
      <c r="B12" s="1"/>
      <c r="C12" s="1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2">
      <c r="A13" s="1" t="s">
        <v>16</v>
      </c>
      <c r="B13" s="1"/>
      <c r="C13" s="1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2">
      <c r="A14" s="1"/>
      <c r="B14" s="1"/>
      <c r="C14" s="1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2">
      <c r="A16" s="6" t="s">
        <v>3</v>
      </c>
      <c r="B16" s="1"/>
      <c r="C16" s="1" t="s">
        <v>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2">
      <c r="A17" s="1" t="s">
        <v>6</v>
      </c>
      <c r="B17" s="1"/>
      <c r="C17" s="1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"/>
      <c r="R17" s="3"/>
      <c r="S17" s="3"/>
      <c r="T17" s="3"/>
      <c r="U17" s="3"/>
      <c r="V17" s="3"/>
      <c r="W17" s="3"/>
      <c r="X17" s="3"/>
    </row>
    <row r="18" spans="1:24" ht="15.75" customHeight="1" x14ac:dyDescent="0.2">
      <c r="A18" s="1" t="s">
        <v>10</v>
      </c>
      <c r="B18" s="1"/>
      <c r="C18" s="1" t="s">
        <v>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</row>
    <row r="19" spans="1:24" ht="15.75" customHeight="1" x14ac:dyDescent="0.2">
      <c r="A19" s="1" t="s">
        <v>13</v>
      </c>
      <c r="B19" s="1"/>
      <c r="C19" s="1" t="s">
        <v>14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</row>
    <row r="20" spans="1:24" ht="15.75" customHeight="1" x14ac:dyDescent="0.2">
      <c r="A20" s="1" t="s">
        <v>16</v>
      </c>
      <c r="B20" s="1"/>
      <c r="C20" s="1" t="s">
        <v>17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2">
      <c r="A21" s="1"/>
      <c r="B21" s="1"/>
      <c r="C21" s="1" t="s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2">
      <c r="A23" s="6" t="s">
        <v>3</v>
      </c>
      <c r="B23" s="1"/>
      <c r="C23" s="1" t="s">
        <v>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2">
      <c r="A24" s="1" t="s">
        <v>6</v>
      </c>
      <c r="B24" s="1"/>
      <c r="C24" s="1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2">
      <c r="A25" s="1" t="s">
        <v>10</v>
      </c>
      <c r="B25" s="1"/>
      <c r="C25" s="1" t="s">
        <v>11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  <c r="X25" s="3"/>
    </row>
    <row r="26" spans="1:24" ht="15.75" customHeight="1" x14ac:dyDescent="0.2">
      <c r="A26" s="1" t="s">
        <v>13</v>
      </c>
      <c r="B26" s="1"/>
      <c r="C26" s="1" t="s">
        <v>14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2">
      <c r="A27" s="1" t="s">
        <v>16</v>
      </c>
      <c r="B27" s="1"/>
      <c r="C27" s="1" t="s">
        <v>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/>
      <c r="R27" s="3"/>
      <c r="S27" s="3"/>
      <c r="T27" s="3"/>
      <c r="U27" s="3"/>
      <c r="V27" s="3"/>
      <c r="W27" s="3"/>
      <c r="X27" s="3"/>
    </row>
    <row r="28" spans="1:24" ht="15.75" customHeight="1" x14ac:dyDescent="0.2">
      <c r="A28" s="1"/>
      <c r="B28" s="1"/>
      <c r="C28" s="1" t="s">
        <v>20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/>
      <c r="R28" s="3"/>
      <c r="S28" s="3"/>
      <c r="T28" s="3"/>
      <c r="U28" s="3"/>
      <c r="V28" s="3"/>
      <c r="W28" s="3"/>
      <c r="X28" s="3"/>
    </row>
    <row r="29" spans="1:24" ht="15.75" customHeight="1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"/>
      <c r="R29" s="3"/>
      <c r="S29" s="3"/>
      <c r="T29" s="3"/>
      <c r="U29" s="3"/>
      <c r="V29" s="3"/>
      <c r="W29" s="3"/>
      <c r="X29" s="3"/>
    </row>
    <row r="30" spans="1:24" ht="15.75" customHeight="1" x14ac:dyDescent="0.2">
      <c r="A30" s="6" t="s">
        <v>3</v>
      </c>
      <c r="B30" s="1"/>
      <c r="C30" s="1" t="s">
        <v>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  <c r="X30" s="3"/>
    </row>
    <row r="31" spans="1:24" ht="15.75" customHeight="1" x14ac:dyDescent="0.2">
      <c r="A31" s="1" t="s">
        <v>6</v>
      </c>
      <c r="B31" s="1"/>
      <c r="C31" s="1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  <c r="X31" s="3"/>
    </row>
    <row r="32" spans="1:24" ht="15.75" customHeight="1" x14ac:dyDescent="0.2">
      <c r="A32" s="1" t="s">
        <v>10</v>
      </c>
      <c r="B32" s="1"/>
      <c r="C32" s="1" t="s">
        <v>11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/>
      <c r="R32" s="3"/>
      <c r="S32" s="3"/>
      <c r="T32" s="3"/>
      <c r="U32" s="3"/>
      <c r="V32" s="3"/>
      <c r="W32" s="3"/>
      <c r="X32" s="3"/>
    </row>
    <row r="33" spans="1:24" ht="15.75" customHeight="1" x14ac:dyDescent="0.2">
      <c r="A33" s="1" t="s">
        <v>13</v>
      </c>
      <c r="B33" s="1"/>
      <c r="C33" s="1" t="s">
        <v>14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  <c r="X33" s="3"/>
    </row>
    <row r="34" spans="1:24" ht="15.75" customHeight="1" x14ac:dyDescent="0.2">
      <c r="A34" s="1" t="s">
        <v>16</v>
      </c>
      <c r="B34" s="1"/>
      <c r="C34" s="1" t="s">
        <v>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/>
      <c r="R34" s="3"/>
      <c r="S34" s="3"/>
      <c r="T34" s="3"/>
      <c r="U34" s="3"/>
      <c r="V34" s="3"/>
      <c r="W34" s="3"/>
      <c r="X34" s="3"/>
    </row>
    <row r="35" spans="1:24" ht="15.75" customHeight="1" x14ac:dyDescent="0.2">
      <c r="A35" s="1"/>
      <c r="B35" s="1"/>
      <c r="C35" s="1" t="s">
        <v>20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/>
      <c r="R35" s="3"/>
      <c r="S35" s="3"/>
      <c r="T35" s="3"/>
      <c r="U35" s="3"/>
      <c r="V35" s="3"/>
      <c r="W35" s="3"/>
      <c r="X35" s="3"/>
    </row>
    <row r="36" spans="1:24" ht="15.75" customHeight="1" x14ac:dyDescent="0.2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3"/>
      <c r="R36" s="3"/>
      <c r="S36" s="3"/>
      <c r="T36" s="3"/>
      <c r="U36" s="3"/>
      <c r="V36" s="3"/>
      <c r="W36" s="3"/>
      <c r="X36" s="3"/>
    </row>
    <row r="37" spans="1:24" ht="12.75" x14ac:dyDescent="0.2">
      <c r="A37" s="6" t="s">
        <v>3</v>
      </c>
      <c r="B37" s="1"/>
      <c r="C37" s="1" t="s">
        <v>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/>
      <c r="R37" s="3"/>
      <c r="S37" s="3"/>
      <c r="T37" s="3"/>
      <c r="U37" s="3"/>
      <c r="V37" s="3"/>
      <c r="W37" s="3"/>
      <c r="X37" s="3"/>
    </row>
    <row r="38" spans="1:24" ht="12.75" x14ac:dyDescent="0.2">
      <c r="A38" s="1" t="s">
        <v>6</v>
      </c>
      <c r="B38" s="1"/>
      <c r="C38" s="1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3"/>
      <c r="S38" s="3"/>
      <c r="T38" s="3"/>
      <c r="U38" s="3"/>
      <c r="V38" s="3"/>
      <c r="W38" s="3"/>
      <c r="X38" s="3"/>
    </row>
    <row r="39" spans="1:24" ht="12.75" x14ac:dyDescent="0.2">
      <c r="A39" s="1" t="s">
        <v>10</v>
      </c>
      <c r="B39" s="1"/>
      <c r="C39" s="1" t="s">
        <v>11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3"/>
      <c r="S39" s="3"/>
      <c r="T39" s="3"/>
      <c r="U39" s="3"/>
      <c r="V39" s="3"/>
      <c r="W39" s="3"/>
      <c r="X39" s="3"/>
    </row>
    <row r="40" spans="1:24" ht="12.75" x14ac:dyDescent="0.2">
      <c r="A40" s="1" t="s">
        <v>13</v>
      </c>
      <c r="B40" s="1"/>
      <c r="C40" s="1" t="s">
        <v>14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3"/>
      <c r="S40" s="3"/>
      <c r="T40" s="3"/>
      <c r="U40" s="3"/>
      <c r="V40" s="3"/>
      <c r="W40" s="3"/>
      <c r="X40" s="3"/>
    </row>
    <row r="41" spans="1:24" ht="12.75" x14ac:dyDescent="0.2">
      <c r="A41" s="1" t="s">
        <v>16</v>
      </c>
      <c r="B41" s="1"/>
      <c r="C41" s="1" t="s">
        <v>17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3"/>
      <c r="S41" s="3"/>
      <c r="T41" s="3"/>
      <c r="U41" s="3"/>
      <c r="V41" s="3"/>
      <c r="W41" s="3"/>
      <c r="X41" s="3"/>
    </row>
    <row r="42" spans="1:24" ht="12.75" x14ac:dyDescent="0.2">
      <c r="A42" s="1"/>
      <c r="B42" s="1"/>
      <c r="C42" s="1" t="s">
        <v>20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3"/>
      <c r="T42" s="3"/>
      <c r="U42" s="3"/>
      <c r="V42" s="3"/>
      <c r="W42" s="3"/>
      <c r="X42" s="3"/>
    </row>
    <row r="43" spans="1:24" ht="12.75" x14ac:dyDescent="0.2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3"/>
      <c r="R43" s="3"/>
      <c r="S43" s="3"/>
      <c r="T43" s="3"/>
      <c r="U43" s="3"/>
      <c r="V43" s="3"/>
      <c r="W43" s="3"/>
      <c r="X43" s="3"/>
    </row>
    <row r="44" spans="1:24" ht="12.75" x14ac:dyDescent="0.2">
      <c r="A44" s="6" t="s">
        <v>3</v>
      </c>
      <c r="B44" s="1"/>
      <c r="C44" s="1" t="s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3"/>
      <c r="S44" s="3"/>
      <c r="T44" s="3"/>
      <c r="U44" s="3"/>
      <c r="V44" s="3"/>
      <c r="W44" s="3"/>
      <c r="X44" s="3"/>
    </row>
    <row r="45" spans="1:24" ht="12.75" x14ac:dyDescent="0.2">
      <c r="A45" s="1" t="s">
        <v>6</v>
      </c>
      <c r="B45" s="1"/>
      <c r="C45" s="1" t="s">
        <v>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3"/>
      <c r="S45" s="3"/>
      <c r="T45" s="3"/>
      <c r="U45" s="3"/>
      <c r="V45" s="3"/>
      <c r="W45" s="3"/>
      <c r="X45" s="3"/>
    </row>
    <row r="46" spans="1:24" ht="12.75" x14ac:dyDescent="0.2">
      <c r="A46" s="1" t="s">
        <v>10</v>
      </c>
      <c r="B46" s="1"/>
      <c r="C46" s="1" t="s">
        <v>11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3"/>
      <c r="S46" s="3"/>
      <c r="T46" s="3"/>
      <c r="U46" s="3"/>
      <c r="V46" s="3"/>
      <c r="W46" s="3"/>
      <c r="X46" s="3"/>
    </row>
    <row r="47" spans="1:24" ht="12.75" x14ac:dyDescent="0.2">
      <c r="A47" s="1" t="s">
        <v>13</v>
      </c>
      <c r="B47" s="1"/>
      <c r="C47" s="1" t="s">
        <v>14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3"/>
      <c r="S47" s="3"/>
      <c r="T47" s="3"/>
      <c r="U47" s="3"/>
      <c r="V47" s="3"/>
      <c r="W47" s="3"/>
      <c r="X47" s="3"/>
    </row>
    <row r="48" spans="1:24" ht="12.75" x14ac:dyDescent="0.2">
      <c r="A48" s="1" t="s">
        <v>16</v>
      </c>
      <c r="B48" s="1"/>
      <c r="C48" s="1" t="s">
        <v>17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3"/>
      <c r="S48" s="3"/>
      <c r="T48" s="3"/>
      <c r="U48" s="3"/>
      <c r="V48" s="3"/>
      <c r="W48" s="3"/>
      <c r="X48" s="3"/>
    </row>
    <row r="49" spans="1:24" ht="12.75" x14ac:dyDescent="0.2">
      <c r="A49" s="1"/>
      <c r="B49" s="1"/>
      <c r="C49" s="1" t="s">
        <v>20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3"/>
      <c r="S49" s="3"/>
      <c r="T49" s="3"/>
      <c r="U49" s="3"/>
      <c r="V49" s="3"/>
      <c r="W49" s="3"/>
      <c r="X49" s="3"/>
    </row>
    <row r="50" spans="1:24" ht="12.75" x14ac:dyDescent="0.2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3"/>
      <c r="R50" s="3"/>
      <c r="S50" s="3"/>
      <c r="T50" s="3"/>
      <c r="U50" s="3"/>
      <c r="V50" s="3"/>
      <c r="W50" s="3"/>
      <c r="X50" s="3"/>
    </row>
    <row r="51" spans="1:24" ht="12.75" x14ac:dyDescent="0.2">
      <c r="A51" s="6" t="s">
        <v>3</v>
      </c>
      <c r="B51" s="1"/>
      <c r="C51" s="1" t="s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/>
      <c r="R51" s="3"/>
      <c r="S51" s="3"/>
      <c r="T51" s="3"/>
      <c r="U51" s="3"/>
      <c r="V51" s="3"/>
      <c r="W51" s="3"/>
      <c r="X51" s="3"/>
    </row>
    <row r="52" spans="1:24" ht="12.75" x14ac:dyDescent="0.2">
      <c r="A52" s="1" t="s">
        <v>6</v>
      </c>
      <c r="B52" s="1"/>
      <c r="C52" s="1" t="s">
        <v>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/>
      <c r="R52" s="3"/>
      <c r="S52" s="3"/>
      <c r="T52" s="3"/>
      <c r="U52" s="3"/>
      <c r="V52" s="3"/>
      <c r="W52" s="3"/>
      <c r="X52" s="3"/>
    </row>
    <row r="53" spans="1:24" ht="12.75" x14ac:dyDescent="0.2">
      <c r="A53" s="1" t="s">
        <v>10</v>
      </c>
      <c r="B53" s="1"/>
      <c r="C53" s="1" t="s">
        <v>11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/>
      <c r="R53" s="3"/>
      <c r="S53" s="3"/>
      <c r="T53" s="3"/>
      <c r="U53" s="3"/>
      <c r="V53" s="3"/>
      <c r="W53" s="3"/>
      <c r="X53" s="3"/>
    </row>
    <row r="54" spans="1:24" ht="12.75" x14ac:dyDescent="0.2">
      <c r="A54" s="1" t="s">
        <v>13</v>
      </c>
      <c r="B54" s="1"/>
      <c r="C54" s="1" t="s">
        <v>14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/>
      <c r="R54" s="3"/>
      <c r="S54" s="3"/>
      <c r="T54" s="3"/>
      <c r="U54" s="3"/>
      <c r="V54" s="3"/>
      <c r="W54" s="3"/>
      <c r="X54" s="3"/>
    </row>
    <row r="55" spans="1:24" ht="12.75" x14ac:dyDescent="0.2">
      <c r="A55" s="1" t="s">
        <v>16</v>
      </c>
      <c r="B55" s="1"/>
      <c r="C55" s="1" t="s">
        <v>17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/>
      <c r="R55" s="3"/>
      <c r="S55" s="3"/>
      <c r="T55" s="3"/>
      <c r="U55" s="3"/>
      <c r="V55" s="3"/>
      <c r="W55" s="3"/>
      <c r="X55" s="3"/>
    </row>
    <row r="56" spans="1:24" ht="12.75" x14ac:dyDescent="0.2">
      <c r="A56" s="1"/>
      <c r="B56" s="1"/>
      <c r="C56" s="1" t="s">
        <v>20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/>
      <c r="R56" s="3"/>
      <c r="S56" s="3"/>
      <c r="T56" s="3"/>
      <c r="U56" s="3"/>
      <c r="V56" s="3"/>
      <c r="W56" s="3"/>
      <c r="X56" s="3"/>
    </row>
    <row r="57" spans="1:24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Planeacion agregada</vt:lpstr>
      <vt:lpstr>MRP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Cruz Mondino</cp:lastModifiedBy>
  <dcterms:modified xsi:type="dcterms:W3CDTF">2026-10-21T16:59:44Z</dcterms:modified>
</cp:coreProperties>
</file>