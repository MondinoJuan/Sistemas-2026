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Estudios\Sistemas-2026\SG\"/>
    </mc:Choice>
  </mc:AlternateContent>
  <xr:revisionPtr revIDLastSave="0" documentId="13_ncr:1_{97D47391-4AE3-4408-B597-AD4E6BF5AF4F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Planeacion agregada" sheetId="1" r:id="rId1"/>
    <sheet name="MRP" sheetId="2" r:id="rId2"/>
  </sheets>
  <calcPr calcId="191029"/>
</workbook>
</file>

<file path=xl/calcChain.xml><?xml version="1.0" encoding="utf-8"?>
<calcChain xmlns="http://schemas.openxmlformats.org/spreadsheetml/2006/main">
  <c r="B46" i="1" l="1"/>
  <c r="B45" i="1"/>
  <c r="B43" i="1"/>
  <c r="B42" i="1"/>
  <c r="B40" i="1"/>
  <c r="B39" i="1"/>
  <c r="B32" i="1"/>
  <c r="B31" i="1"/>
  <c r="B27" i="1"/>
  <c r="B29" i="1"/>
  <c r="B30" i="1" s="1"/>
  <c r="K29" i="1"/>
  <c r="B21" i="1"/>
  <c r="B17" i="1"/>
  <c r="B7" i="1"/>
  <c r="C7" i="1"/>
  <c r="C8" i="1" s="1"/>
  <c r="C4" i="1"/>
  <c r="B4" i="1"/>
</calcChain>
</file>

<file path=xl/sharedStrings.xml><?xml version="1.0" encoding="utf-8"?>
<sst xmlns="http://schemas.openxmlformats.org/spreadsheetml/2006/main" count="157" uniqueCount="56">
  <si>
    <t>Semanas</t>
  </si>
  <si>
    <t>Inventario Inicial</t>
  </si>
  <si>
    <t>Req. de producción</t>
  </si>
  <si>
    <t>Componente</t>
  </si>
  <si>
    <t>Necesidades brutas</t>
  </si>
  <si>
    <t>Hs requeridas</t>
  </si>
  <si>
    <t>Tamaño de lote</t>
  </si>
  <si>
    <t>Días hábiles / mes</t>
  </si>
  <si>
    <t>Entradas programadas</t>
  </si>
  <si>
    <t>Hs / trabajador / mes</t>
  </si>
  <si>
    <t>A la mano</t>
  </si>
  <si>
    <t>Saldo disponible</t>
  </si>
  <si>
    <t>Trabajadores req.</t>
  </si>
  <si>
    <t>Tiempo de espera</t>
  </si>
  <si>
    <t>Necesidades netas</t>
  </si>
  <si>
    <t>Trabaj. contratados</t>
  </si>
  <si>
    <t xml:space="preserve">Existencias de seg. </t>
  </si>
  <si>
    <t>Entradas de pedido</t>
  </si>
  <si>
    <t>Costo contratación</t>
  </si>
  <si>
    <t>Despidos</t>
  </si>
  <si>
    <t>Expedición de pedidos</t>
  </si>
  <si>
    <t>Costo despidos</t>
  </si>
  <si>
    <t>Costo tpo. normal</t>
  </si>
  <si>
    <t>Costo Total</t>
  </si>
  <si>
    <t>Inventario inicial</t>
  </si>
  <si>
    <t>Hs disponibles</t>
  </si>
  <si>
    <t>Producción real</t>
  </si>
  <si>
    <t>Demanda pronost.</t>
  </si>
  <si>
    <t>Inventario final</t>
  </si>
  <si>
    <t>Costo por faltante</t>
  </si>
  <si>
    <t>Costo inventario</t>
  </si>
  <si>
    <t>Hs prod. disponibles</t>
  </si>
  <si>
    <t>Unidades subcont.</t>
  </si>
  <si>
    <t>Costo subcont.</t>
  </si>
  <si>
    <t>Producción normal</t>
  </si>
  <si>
    <t>Uni. disp. antes TEx</t>
  </si>
  <si>
    <t>Tiempo extra (hs)</t>
  </si>
  <si>
    <t>Costo tpo. extra</t>
  </si>
  <si>
    <t>Costo tpo normal</t>
  </si>
  <si>
    <t>Detalle</t>
  </si>
  <si>
    <t>Enero</t>
  </si>
  <si>
    <t>Febrero</t>
  </si>
  <si>
    <t>Marzo</t>
  </si>
  <si>
    <t>Abril</t>
  </si>
  <si>
    <t>Mayo</t>
  </si>
  <si>
    <t>Junio</t>
  </si>
  <si>
    <t>Total</t>
  </si>
  <si>
    <t>-</t>
  </si>
  <si>
    <t>Trabajadores</t>
  </si>
  <si>
    <t>7600?</t>
  </si>
  <si>
    <t>Fuerza cte, subcontratación</t>
  </si>
  <si>
    <t>mes con menos demanda</t>
  </si>
  <si>
    <t>cant empleados</t>
  </si>
  <si>
    <t>Fuerza cte, tiempo extra</t>
  </si>
  <si>
    <t>Empleados</t>
  </si>
  <si>
    <t>Plan Agregado / Plan conjunto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</si>
</sst>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</font>
    <font>
      <sz val="12"/>
      <color theme="1"/>
      <name val="Arial"/>
    </font>
    <font>
      <b/>
      <sz val="10"/>
      <color theme="1"/>
      <name val="Arial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right"/>
    </xf>
    <xf numFmtId="0" fontId="2" fillId="0" borderId="1" xfId="0" applyFont="1" applyBorder="1"/>
    <xf numFmtId="0" fontId="3" fillId="0" borderId="1" xfId="0" applyFont="1" applyBorder="1"/>
    <xf numFmtId="0" fontId="1" fillId="2" borderId="1" xfId="0" applyFont="1" applyFill="1" applyBorder="1"/>
    <xf numFmtId="0" fontId="1" fillId="2" borderId="4" xfId="0" applyFont="1" applyFill="1" applyBorder="1"/>
    <xf numFmtId="0" fontId="1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1" fillId="3" borderId="2" xfId="0" applyFont="1" applyFill="1" applyBorder="1"/>
    <xf numFmtId="0" fontId="1" fillId="0" borderId="1" xfId="0" quotePrefix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2"/>
  <sheetViews>
    <sheetView topLeftCell="A38" workbookViewId="0">
      <selection activeCell="B50" sqref="B50"/>
    </sheetView>
  </sheetViews>
  <sheetFormatPr baseColWidth="10" defaultColWidth="12.6640625" defaultRowHeight="15.75" customHeight="1" x14ac:dyDescent="0.25"/>
  <cols>
    <col min="1" max="1" width="37.6640625" customWidth="1"/>
    <col min="2" max="10" width="11.109375" customWidth="1"/>
  </cols>
  <sheetData>
    <row r="1" spans="1:27" x14ac:dyDescent="0.25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45</v>
      </c>
      <c r="H1" s="1" t="s">
        <v>46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x14ac:dyDescent="0.25">
      <c r="A2" s="5" t="s">
        <v>1</v>
      </c>
      <c r="B2" s="1">
        <v>400</v>
      </c>
      <c r="C2" s="1">
        <v>0</v>
      </c>
      <c r="D2" s="1"/>
      <c r="E2" s="1"/>
      <c r="F2" s="1"/>
      <c r="G2" s="1"/>
      <c r="H2" s="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x14ac:dyDescent="0.25">
      <c r="A3" s="5" t="s">
        <v>2</v>
      </c>
      <c r="B3" s="1">
        <v>1800</v>
      </c>
      <c r="C3" s="1">
        <v>1500</v>
      </c>
      <c r="D3" s="1"/>
      <c r="E3" s="1"/>
      <c r="F3" s="1"/>
      <c r="G3" s="1"/>
      <c r="H3" s="1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x14ac:dyDescent="0.25">
      <c r="A4" s="5" t="s">
        <v>5</v>
      </c>
      <c r="B4" s="1">
        <f>(B3-B2)*5</f>
        <v>7000</v>
      </c>
      <c r="C4" s="1">
        <f>(C3-C2)*5</f>
        <v>7500</v>
      </c>
      <c r="D4" s="1"/>
      <c r="E4" s="1"/>
      <c r="F4" s="1"/>
      <c r="G4" s="1"/>
      <c r="H4" s="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x14ac:dyDescent="0.25">
      <c r="A5" s="5" t="s">
        <v>7</v>
      </c>
      <c r="B5" s="1">
        <v>22</v>
      </c>
      <c r="C5" s="1">
        <v>19</v>
      </c>
      <c r="D5" s="1"/>
      <c r="E5" s="1"/>
      <c r="F5" s="1"/>
      <c r="G5" s="1"/>
      <c r="H5" s="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x14ac:dyDescent="0.25">
      <c r="A6" s="5" t="s">
        <v>9</v>
      </c>
      <c r="B6" s="1">
        <v>176</v>
      </c>
      <c r="C6" s="1">
        <v>152</v>
      </c>
      <c r="D6" s="1"/>
      <c r="E6" s="1"/>
      <c r="F6" s="1"/>
      <c r="G6" s="1"/>
      <c r="H6" s="1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x14ac:dyDescent="0.25">
      <c r="A7" s="5" t="s">
        <v>12</v>
      </c>
      <c r="B7" s="1">
        <f>B4/B6</f>
        <v>39.772727272727273</v>
      </c>
      <c r="C7" s="1">
        <f>C4/(C6)</f>
        <v>49.342105263157897</v>
      </c>
      <c r="D7" s="1"/>
      <c r="E7" s="1"/>
      <c r="F7" s="1"/>
      <c r="G7" s="1"/>
      <c r="H7" s="1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x14ac:dyDescent="0.25">
      <c r="A8" s="5" t="s">
        <v>15</v>
      </c>
      <c r="B8" s="13" t="s">
        <v>47</v>
      </c>
      <c r="C8" s="1">
        <f>C7-B7</f>
        <v>9.569377990430624</v>
      </c>
      <c r="D8" s="1"/>
      <c r="E8" s="1"/>
      <c r="F8" s="1"/>
      <c r="G8" s="1"/>
      <c r="H8" s="1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x14ac:dyDescent="0.25">
      <c r="A9" s="5" t="s">
        <v>18</v>
      </c>
      <c r="B9" s="13" t="s">
        <v>47</v>
      </c>
      <c r="C9" s="1">
        <v>2000</v>
      </c>
      <c r="D9" s="1"/>
      <c r="E9" s="1"/>
      <c r="F9" s="1"/>
      <c r="G9" s="1"/>
      <c r="H9" s="1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x14ac:dyDescent="0.25">
      <c r="A10" s="5" t="s">
        <v>19</v>
      </c>
      <c r="B10" s="13" t="s">
        <v>47</v>
      </c>
      <c r="C10" s="13" t="s">
        <v>47</v>
      </c>
      <c r="D10" s="1"/>
      <c r="E10" s="1"/>
      <c r="F10" s="1"/>
      <c r="G10" s="1"/>
      <c r="H10" s="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x14ac:dyDescent="0.25">
      <c r="A11" s="5" t="s">
        <v>21</v>
      </c>
      <c r="B11" s="13" t="s">
        <v>47</v>
      </c>
      <c r="C11" s="13" t="s">
        <v>47</v>
      </c>
      <c r="D11" s="1"/>
      <c r="E11" s="1"/>
      <c r="F11" s="1"/>
      <c r="G11" s="1"/>
      <c r="H11" s="1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x14ac:dyDescent="0.25">
      <c r="A12" s="5" t="s">
        <v>22</v>
      </c>
      <c r="B12" s="1">
        <v>28000</v>
      </c>
      <c r="C12" s="1">
        <v>30000</v>
      </c>
      <c r="D12" s="1"/>
      <c r="E12" s="1"/>
      <c r="F12" s="1"/>
      <c r="G12" s="1"/>
      <c r="H12" s="1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x14ac:dyDescent="0.25">
      <c r="A13" s="5" t="s">
        <v>23</v>
      </c>
      <c r="B13" s="9"/>
      <c r="C13" s="10"/>
      <c r="D13" s="10"/>
      <c r="E13" s="10"/>
      <c r="F13" s="10"/>
      <c r="G13" s="11"/>
      <c r="H13" s="1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x14ac:dyDescent="0.25">
      <c r="A14" s="12"/>
      <c r="B14" s="10"/>
      <c r="C14" s="10"/>
      <c r="D14" s="10"/>
      <c r="E14" s="10"/>
      <c r="F14" s="10"/>
      <c r="G14" s="10"/>
      <c r="H14" s="11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x14ac:dyDescent="0.25">
      <c r="A15" s="5" t="s">
        <v>24</v>
      </c>
      <c r="B15" s="1">
        <v>400</v>
      </c>
      <c r="C15" s="1"/>
      <c r="D15" s="1"/>
      <c r="E15" s="1"/>
      <c r="F15" s="1"/>
      <c r="G15" s="1"/>
      <c r="H15" s="1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x14ac:dyDescent="0.25">
      <c r="A16" s="5" t="s">
        <v>7</v>
      </c>
      <c r="B16" s="1">
        <v>22</v>
      </c>
      <c r="C16" s="1"/>
      <c r="D16" s="1"/>
      <c r="E16" s="1"/>
      <c r="F16" s="1"/>
      <c r="G16" s="1"/>
      <c r="H16" s="1"/>
      <c r="I16" s="3"/>
      <c r="J16" s="3">
        <v>38</v>
      </c>
      <c r="K16" s="3" t="s">
        <v>48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x14ac:dyDescent="0.25">
      <c r="A17" s="5" t="s">
        <v>25</v>
      </c>
      <c r="B17" s="1">
        <f>B16*8*38</f>
        <v>6688</v>
      </c>
      <c r="C17" s="1"/>
      <c r="D17" s="1"/>
      <c r="E17" s="1"/>
      <c r="F17" s="1"/>
      <c r="G17" s="1"/>
      <c r="H17" s="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x14ac:dyDescent="0.25">
      <c r="A18" s="5" t="s">
        <v>26</v>
      </c>
      <c r="B18" s="1"/>
      <c r="C18" s="1"/>
      <c r="D18" s="1"/>
      <c r="E18" s="1"/>
      <c r="F18" s="1"/>
      <c r="G18" s="1"/>
      <c r="H18" s="1"/>
      <c r="I18" s="3"/>
      <c r="J18" s="3" t="s">
        <v>49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x14ac:dyDescent="0.25">
      <c r="A19" s="5" t="s">
        <v>27</v>
      </c>
      <c r="B19" s="1"/>
      <c r="C19" s="1"/>
      <c r="D19" s="1"/>
      <c r="E19" s="1"/>
      <c r="F19" s="1"/>
      <c r="G19" s="1"/>
      <c r="H19" s="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x14ac:dyDescent="0.25">
      <c r="A20" s="5" t="s">
        <v>28</v>
      </c>
      <c r="B20" s="1">
        <v>-63</v>
      </c>
      <c r="C20" s="1"/>
      <c r="D20" s="1"/>
      <c r="E20" s="1"/>
      <c r="F20" s="1"/>
      <c r="G20" s="1"/>
      <c r="H20" s="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x14ac:dyDescent="0.25">
      <c r="A21" s="5" t="s">
        <v>29</v>
      </c>
      <c r="B21" s="1">
        <f>B20*5</f>
        <v>-315</v>
      </c>
      <c r="C21" s="1"/>
      <c r="D21" s="1"/>
      <c r="E21" s="1"/>
      <c r="F21" s="1"/>
      <c r="G21" s="1"/>
      <c r="H21" s="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x14ac:dyDescent="0.25">
      <c r="A22" s="5" t="s">
        <v>30</v>
      </c>
      <c r="B22" s="13" t="s">
        <v>47</v>
      </c>
      <c r="C22" s="1"/>
      <c r="D22" s="1"/>
      <c r="E22" s="1"/>
      <c r="F22" s="1"/>
      <c r="G22" s="1"/>
      <c r="H22" s="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x14ac:dyDescent="0.25">
      <c r="A23" s="5" t="s">
        <v>22</v>
      </c>
      <c r="B23" s="1"/>
      <c r="C23" s="1"/>
      <c r="D23" s="1"/>
      <c r="E23" s="1"/>
      <c r="F23" s="1"/>
      <c r="G23" s="1"/>
      <c r="H23" s="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x14ac:dyDescent="0.25">
      <c r="A24" s="5" t="s">
        <v>23</v>
      </c>
      <c r="B24" s="9"/>
      <c r="C24" s="10"/>
      <c r="D24" s="10"/>
      <c r="E24" s="10"/>
      <c r="F24" s="10"/>
      <c r="G24" s="11"/>
      <c r="H24" s="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x14ac:dyDescent="0.25">
      <c r="A25" s="12" t="s">
        <v>50</v>
      </c>
      <c r="B25" s="10"/>
      <c r="C25" s="10"/>
      <c r="D25" s="10"/>
      <c r="E25" s="10"/>
      <c r="F25" s="10"/>
      <c r="G25" s="10"/>
      <c r="H25" s="1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x14ac:dyDescent="0.25">
      <c r="A26" s="5" t="s">
        <v>24</v>
      </c>
      <c r="B26" s="1">
        <v>400</v>
      </c>
      <c r="C26" s="1"/>
      <c r="D26" s="1"/>
      <c r="E26" s="1"/>
      <c r="F26" s="1"/>
      <c r="G26" s="1"/>
      <c r="H26" s="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x14ac:dyDescent="0.25">
      <c r="A27" s="5" t="s">
        <v>2</v>
      </c>
      <c r="B27" s="1">
        <f>1800-B26</f>
        <v>1400</v>
      </c>
      <c r="C27" s="1"/>
      <c r="D27" s="1"/>
      <c r="E27" s="1"/>
      <c r="F27" s="1"/>
      <c r="G27" s="1"/>
      <c r="H27" s="1"/>
      <c r="I27" s="3"/>
      <c r="J27" s="3" t="s">
        <v>51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x14ac:dyDescent="0.25">
      <c r="A28" s="5" t="s">
        <v>7</v>
      </c>
      <c r="B28" s="1">
        <v>22</v>
      </c>
      <c r="C28" s="1"/>
      <c r="D28" s="1"/>
      <c r="E28" s="1"/>
      <c r="F28" s="1"/>
      <c r="G28" s="1"/>
      <c r="H28" s="1"/>
      <c r="I28" s="3"/>
      <c r="J28" s="3">
        <v>900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x14ac:dyDescent="0.25">
      <c r="A29" s="5" t="s">
        <v>31</v>
      </c>
      <c r="B29" s="1">
        <f>B28*8*26</f>
        <v>4576</v>
      </c>
      <c r="C29" s="1"/>
      <c r="D29" s="1"/>
      <c r="E29" s="1"/>
      <c r="F29" s="1"/>
      <c r="G29" s="1"/>
      <c r="H29" s="1"/>
      <c r="I29" s="3"/>
      <c r="J29" s="3" t="s">
        <v>52</v>
      </c>
      <c r="K29" s="3">
        <f>J28*5/(8*21)</f>
        <v>26.785714285714285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x14ac:dyDescent="0.25">
      <c r="A30" s="5" t="s">
        <v>26</v>
      </c>
      <c r="B30" s="1">
        <f>B29/5</f>
        <v>915.2</v>
      </c>
      <c r="C30" s="1"/>
      <c r="D30" s="1"/>
      <c r="E30" s="1"/>
      <c r="F30" s="1"/>
      <c r="G30" s="1"/>
      <c r="H30" s="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x14ac:dyDescent="0.25">
      <c r="A31" s="5" t="s">
        <v>32</v>
      </c>
      <c r="B31" s="1">
        <f>B27-B30</f>
        <v>484.79999999999995</v>
      </c>
      <c r="C31" s="1"/>
      <c r="D31" s="1"/>
      <c r="E31" s="1"/>
      <c r="F31" s="1"/>
      <c r="G31" s="1"/>
      <c r="H31" s="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x14ac:dyDescent="0.25">
      <c r="A32" s="5" t="s">
        <v>33</v>
      </c>
      <c r="B32" s="1">
        <f>B31*20</f>
        <v>9696</v>
      </c>
      <c r="C32" s="1"/>
      <c r="D32" s="1"/>
      <c r="E32" s="1"/>
      <c r="F32" s="1"/>
      <c r="G32" s="1"/>
      <c r="H32" s="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x14ac:dyDescent="0.25">
      <c r="A33" s="5" t="s">
        <v>30</v>
      </c>
      <c r="B33" s="13" t="s">
        <v>47</v>
      </c>
      <c r="C33" s="1"/>
      <c r="D33" s="1"/>
      <c r="E33" s="1"/>
      <c r="F33" s="1"/>
      <c r="G33" s="1"/>
      <c r="H33" s="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x14ac:dyDescent="0.25">
      <c r="A34" s="5" t="s">
        <v>22</v>
      </c>
      <c r="B34" s="1">
        <v>18300</v>
      </c>
      <c r="C34" s="1"/>
      <c r="D34" s="1"/>
      <c r="E34" s="1"/>
      <c r="F34" s="1"/>
      <c r="G34" s="1"/>
      <c r="H34" s="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x14ac:dyDescent="0.25">
      <c r="A35" s="5" t="s">
        <v>23</v>
      </c>
      <c r="B35" s="9"/>
      <c r="C35" s="10"/>
      <c r="D35" s="10"/>
      <c r="E35" s="10"/>
      <c r="F35" s="10"/>
      <c r="G35" s="11"/>
      <c r="H35" s="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x14ac:dyDescent="0.25">
      <c r="A36" s="12" t="s">
        <v>53</v>
      </c>
      <c r="B36" s="10"/>
      <c r="C36" s="10"/>
      <c r="D36" s="10"/>
      <c r="E36" s="10"/>
      <c r="F36" s="10"/>
      <c r="G36" s="10"/>
      <c r="H36" s="1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x14ac:dyDescent="0.25">
      <c r="A37" s="5" t="s">
        <v>24</v>
      </c>
      <c r="B37" s="1">
        <v>400</v>
      </c>
      <c r="C37" s="1"/>
      <c r="D37" s="1"/>
      <c r="E37" s="1"/>
      <c r="F37" s="1"/>
      <c r="G37" s="1"/>
      <c r="H37" s="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x14ac:dyDescent="0.25">
      <c r="A38" s="5" t="s">
        <v>7</v>
      </c>
      <c r="B38" s="1">
        <v>22</v>
      </c>
      <c r="C38" s="1"/>
      <c r="D38" s="1"/>
      <c r="E38" s="1"/>
      <c r="F38" s="1"/>
      <c r="G38" s="1"/>
      <c r="H38" s="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x14ac:dyDescent="0.25">
      <c r="A39" s="5" t="s">
        <v>25</v>
      </c>
      <c r="B39" s="1">
        <f>K41*B38*8</f>
        <v>5632</v>
      </c>
      <c r="C39" s="1"/>
      <c r="D39" s="1"/>
      <c r="E39" s="1"/>
      <c r="F39" s="1"/>
      <c r="G39" s="1"/>
      <c r="H39" s="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x14ac:dyDescent="0.25">
      <c r="A40" s="5" t="s">
        <v>34</v>
      </c>
      <c r="B40" s="1">
        <f>B39/5</f>
        <v>1126.4000000000001</v>
      </c>
      <c r="C40" s="1"/>
      <c r="D40" s="1"/>
      <c r="E40" s="1"/>
      <c r="F40" s="1"/>
      <c r="G40" s="1"/>
      <c r="H40" s="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x14ac:dyDescent="0.25">
      <c r="A41" s="5" t="s">
        <v>27</v>
      </c>
      <c r="B41" s="1">
        <v>1800</v>
      </c>
      <c r="C41" s="1"/>
      <c r="D41" s="1"/>
      <c r="E41" s="1"/>
      <c r="F41" s="1"/>
      <c r="G41" s="1"/>
      <c r="H41" s="1"/>
      <c r="I41" s="3"/>
      <c r="J41" s="3" t="s">
        <v>54</v>
      </c>
      <c r="K41" s="3">
        <v>32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x14ac:dyDescent="0.25">
      <c r="A42" s="5" t="s">
        <v>35</v>
      </c>
      <c r="B42" s="1">
        <f>B41-B37-B40</f>
        <v>273.59999999999991</v>
      </c>
      <c r="C42" s="1"/>
      <c r="D42" s="1"/>
      <c r="E42" s="1"/>
      <c r="F42" s="1"/>
      <c r="G42" s="1"/>
      <c r="H42" s="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x14ac:dyDescent="0.25">
      <c r="A43" s="5" t="s">
        <v>36</v>
      </c>
      <c r="B43" s="1">
        <f>B42*5</f>
        <v>1367.9999999999995</v>
      </c>
      <c r="C43" s="1"/>
      <c r="D43" s="1"/>
      <c r="E43" s="1"/>
      <c r="F43" s="1"/>
      <c r="G43" s="1"/>
      <c r="H43" s="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x14ac:dyDescent="0.25">
      <c r="A44" s="5" t="s">
        <v>30</v>
      </c>
      <c r="B44" s="13" t="s">
        <v>47</v>
      </c>
      <c r="C44" s="1"/>
      <c r="D44" s="1"/>
      <c r="E44" s="1"/>
      <c r="F44" s="1"/>
      <c r="G44" s="1"/>
      <c r="H44" s="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x14ac:dyDescent="0.25">
      <c r="A45" s="5" t="s">
        <v>37</v>
      </c>
      <c r="B45" s="1">
        <f>B43*6</f>
        <v>8207.9999999999964</v>
      </c>
      <c r="C45" s="1"/>
      <c r="D45" s="1"/>
      <c r="E45" s="1"/>
      <c r="F45" s="1"/>
      <c r="G45" s="1"/>
      <c r="H45" s="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x14ac:dyDescent="0.25">
      <c r="A46" s="5" t="s">
        <v>38</v>
      </c>
      <c r="B46" s="1">
        <f>B39*4</f>
        <v>22528</v>
      </c>
      <c r="C46" s="1"/>
      <c r="D46" s="1"/>
      <c r="E46" s="1"/>
      <c r="F46" s="1"/>
      <c r="G46" s="1"/>
      <c r="H46" s="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x14ac:dyDescent="0.25">
      <c r="A47" s="5" t="s">
        <v>23</v>
      </c>
      <c r="B47" s="9"/>
      <c r="C47" s="10"/>
      <c r="D47" s="10"/>
      <c r="E47" s="10"/>
      <c r="F47" s="10"/>
      <c r="G47" s="11"/>
      <c r="H47" s="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x14ac:dyDescent="0.25">
      <c r="A49" s="3"/>
      <c r="B49" s="3" t="s">
        <v>55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spans="1:27" x14ac:dyDescent="0.2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spans="1:27" x14ac:dyDescent="0.2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</sheetData>
  <mergeCells count="7">
    <mergeCell ref="A36:H36"/>
    <mergeCell ref="B47:G47"/>
    <mergeCell ref="B13:G13"/>
    <mergeCell ref="A14:H14"/>
    <mergeCell ref="B24:G24"/>
    <mergeCell ref="A25:H25"/>
    <mergeCell ref="B35:G3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999"/>
  <sheetViews>
    <sheetView tabSelected="1" workbookViewId="0">
      <selection activeCell="M2" sqref="M2"/>
    </sheetView>
  </sheetViews>
  <sheetFormatPr baseColWidth="10" defaultColWidth="12.6640625" defaultRowHeight="15.75" customHeight="1" x14ac:dyDescent="0.25"/>
  <cols>
    <col min="1" max="1" width="15.6640625" customWidth="1"/>
    <col min="2" max="2" width="2.6640625" customWidth="1"/>
    <col min="3" max="3" width="17.6640625" customWidth="1"/>
    <col min="4" max="16" width="4.44140625" customWidth="1"/>
  </cols>
  <sheetData>
    <row r="1" spans="1:24" x14ac:dyDescent="0.25">
      <c r="A1" s="1"/>
      <c r="B1" s="1"/>
      <c r="C1" s="2" t="s">
        <v>0</v>
      </c>
      <c r="D1" s="4">
        <v>1</v>
      </c>
      <c r="E1" s="4">
        <v>2</v>
      </c>
      <c r="F1" s="4">
        <v>3</v>
      </c>
      <c r="G1" s="4">
        <v>4</v>
      </c>
      <c r="H1" s="4">
        <v>5</v>
      </c>
      <c r="I1" s="4">
        <v>6</v>
      </c>
      <c r="J1" s="4">
        <v>7</v>
      </c>
      <c r="K1" s="4">
        <v>8</v>
      </c>
      <c r="L1" s="4">
        <v>9</v>
      </c>
      <c r="M1" s="4">
        <v>10</v>
      </c>
      <c r="N1" s="4">
        <v>11</v>
      </c>
      <c r="O1" s="4">
        <v>12</v>
      </c>
      <c r="P1" s="4">
        <v>13</v>
      </c>
      <c r="Q1" s="3"/>
      <c r="R1" s="3"/>
      <c r="S1" s="3"/>
      <c r="T1" s="3"/>
      <c r="U1" s="3"/>
      <c r="V1" s="3"/>
      <c r="W1" s="3"/>
      <c r="X1" s="3"/>
    </row>
    <row r="2" spans="1:24" x14ac:dyDescent="0.25">
      <c r="A2" s="6" t="s">
        <v>3</v>
      </c>
      <c r="B2" s="1"/>
      <c r="C2" s="1" t="s">
        <v>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3"/>
      <c r="R2" s="3"/>
      <c r="S2" s="3"/>
      <c r="T2" s="3"/>
      <c r="U2" s="3"/>
      <c r="V2" s="3"/>
      <c r="W2" s="3"/>
      <c r="X2" s="3"/>
    </row>
    <row r="3" spans="1:24" x14ac:dyDescent="0.25">
      <c r="A3" s="1" t="s">
        <v>6</v>
      </c>
      <c r="B3" s="1"/>
      <c r="C3" s="1" t="s">
        <v>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3"/>
      <c r="R3" s="3"/>
      <c r="S3" s="3"/>
      <c r="T3" s="3"/>
      <c r="U3" s="3"/>
      <c r="V3" s="3"/>
      <c r="W3" s="3"/>
      <c r="X3" s="3"/>
    </row>
    <row r="4" spans="1:24" x14ac:dyDescent="0.25">
      <c r="A4" s="1" t="s">
        <v>10</v>
      </c>
      <c r="B4" s="1"/>
      <c r="C4" s="1" t="s">
        <v>11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"/>
      <c r="R4" s="3"/>
      <c r="S4" s="3"/>
      <c r="T4" s="3"/>
      <c r="U4" s="3"/>
      <c r="V4" s="3"/>
      <c r="W4" s="3"/>
      <c r="X4" s="3"/>
    </row>
    <row r="5" spans="1:24" x14ac:dyDescent="0.25">
      <c r="A5" s="1" t="s">
        <v>13</v>
      </c>
      <c r="B5" s="1"/>
      <c r="C5" s="1" t="s">
        <v>14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3"/>
      <c r="R5" s="3"/>
      <c r="S5" s="3"/>
      <c r="T5" s="3"/>
      <c r="U5" s="3"/>
      <c r="V5" s="3"/>
      <c r="W5" s="3"/>
      <c r="X5" s="3"/>
    </row>
    <row r="6" spans="1:24" x14ac:dyDescent="0.25">
      <c r="A6" s="1" t="s">
        <v>16</v>
      </c>
      <c r="B6" s="1"/>
      <c r="C6" s="1" t="s">
        <v>17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"/>
      <c r="R6" s="3"/>
      <c r="S6" s="3"/>
      <c r="T6" s="3"/>
      <c r="U6" s="3"/>
      <c r="V6" s="3"/>
      <c r="W6" s="3"/>
      <c r="X6" s="3"/>
    </row>
    <row r="7" spans="1:24" x14ac:dyDescent="0.25">
      <c r="A7" s="1"/>
      <c r="B7" s="1"/>
      <c r="C7" s="1" t="s">
        <v>20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3"/>
      <c r="R7" s="3"/>
      <c r="S7" s="3"/>
      <c r="T7" s="3"/>
      <c r="U7" s="3"/>
      <c r="V7" s="3"/>
      <c r="W7" s="3"/>
      <c r="X7" s="3"/>
    </row>
    <row r="8" spans="1:2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3"/>
      <c r="R8" s="3"/>
      <c r="S8" s="3"/>
      <c r="T8" s="3"/>
      <c r="U8" s="3"/>
      <c r="V8" s="3"/>
      <c r="W8" s="3"/>
      <c r="X8" s="3"/>
    </row>
    <row r="9" spans="1:24" x14ac:dyDescent="0.25">
      <c r="A9" s="6" t="s">
        <v>3</v>
      </c>
      <c r="B9" s="1"/>
      <c r="C9" s="1" t="s">
        <v>4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3"/>
      <c r="R9" s="3"/>
      <c r="S9" s="3"/>
      <c r="T9" s="3"/>
      <c r="U9" s="3"/>
      <c r="V9" s="3"/>
      <c r="W9" s="3"/>
      <c r="X9" s="3"/>
    </row>
    <row r="10" spans="1:24" x14ac:dyDescent="0.25">
      <c r="A10" s="1" t="s">
        <v>6</v>
      </c>
      <c r="B10" s="1"/>
      <c r="C10" s="1" t="s">
        <v>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3"/>
      <c r="R10" s="3"/>
      <c r="S10" s="3"/>
      <c r="T10" s="3"/>
      <c r="U10" s="3"/>
      <c r="V10" s="3"/>
      <c r="W10" s="3"/>
      <c r="X10" s="3"/>
    </row>
    <row r="11" spans="1:24" x14ac:dyDescent="0.25">
      <c r="A11" s="1" t="s">
        <v>10</v>
      </c>
      <c r="B11" s="1"/>
      <c r="C11" s="1" t="s">
        <v>11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1" t="s">
        <v>13</v>
      </c>
      <c r="B12" s="1"/>
      <c r="C12" s="1" t="s">
        <v>14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1" t="s">
        <v>16</v>
      </c>
      <c r="B13" s="1"/>
      <c r="C13" s="1" t="s">
        <v>17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3"/>
      <c r="R13" s="3"/>
      <c r="S13" s="3"/>
      <c r="T13" s="3"/>
      <c r="U13" s="3"/>
      <c r="V13" s="3"/>
      <c r="W13" s="3"/>
      <c r="X13" s="3"/>
    </row>
    <row r="14" spans="1:24" x14ac:dyDescent="0.25">
      <c r="A14" s="1"/>
      <c r="B14" s="1"/>
      <c r="C14" s="1" t="s">
        <v>20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3"/>
      <c r="R14" s="3"/>
      <c r="S14" s="3"/>
      <c r="T14" s="3"/>
      <c r="U14" s="3"/>
      <c r="V14" s="3"/>
      <c r="W14" s="3"/>
      <c r="X14" s="3"/>
    </row>
    <row r="15" spans="1:24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3"/>
      <c r="R15" s="3"/>
      <c r="S15" s="3"/>
      <c r="T15" s="3"/>
      <c r="U15" s="3"/>
      <c r="V15" s="3"/>
      <c r="W15" s="3"/>
      <c r="X15" s="3"/>
    </row>
    <row r="16" spans="1:24" x14ac:dyDescent="0.25">
      <c r="A16" s="6" t="s">
        <v>3</v>
      </c>
      <c r="B16" s="1"/>
      <c r="C16" s="1" t="s">
        <v>4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1" t="s">
        <v>6</v>
      </c>
      <c r="B17" s="1"/>
      <c r="C17" s="1" t="s">
        <v>8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1" t="s">
        <v>10</v>
      </c>
      <c r="B18" s="1"/>
      <c r="C18" s="1" t="s">
        <v>11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1" t="s">
        <v>13</v>
      </c>
      <c r="B19" s="1"/>
      <c r="C19" s="1" t="s">
        <v>14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1" t="s">
        <v>16</v>
      </c>
      <c r="B20" s="1"/>
      <c r="C20" s="1" t="s">
        <v>17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1"/>
      <c r="B21" s="1"/>
      <c r="C21" s="1" t="s">
        <v>20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6" t="s">
        <v>3</v>
      </c>
      <c r="B23" s="1"/>
      <c r="C23" s="1" t="s">
        <v>4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1" t="s">
        <v>6</v>
      </c>
      <c r="B24" s="1"/>
      <c r="C24" s="1" t="s">
        <v>8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1" t="s">
        <v>10</v>
      </c>
      <c r="B25" s="1"/>
      <c r="C25" s="1" t="s">
        <v>11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1" t="s">
        <v>13</v>
      </c>
      <c r="B26" s="1"/>
      <c r="C26" s="1" t="s">
        <v>14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3"/>
      <c r="R26" s="3"/>
      <c r="S26" s="3"/>
      <c r="T26" s="3"/>
      <c r="U26" s="3"/>
      <c r="V26" s="3"/>
      <c r="W26" s="3"/>
      <c r="X26" s="3"/>
    </row>
    <row r="27" spans="1:24" x14ac:dyDescent="0.25">
      <c r="A27" s="1" t="s">
        <v>16</v>
      </c>
      <c r="B27" s="1"/>
      <c r="C27" s="1" t="s">
        <v>17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3"/>
      <c r="R27" s="3"/>
      <c r="S27" s="3"/>
      <c r="T27" s="3"/>
      <c r="U27" s="3"/>
      <c r="V27" s="3"/>
      <c r="W27" s="3"/>
      <c r="X27" s="3"/>
    </row>
    <row r="28" spans="1:24" x14ac:dyDescent="0.25">
      <c r="A28" s="1"/>
      <c r="B28" s="1"/>
      <c r="C28" s="1" t="s">
        <v>20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3"/>
      <c r="R28" s="3"/>
      <c r="S28" s="3"/>
      <c r="T28" s="3"/>
      <c r="U28" s="3"/>
      <c r="V28" s="3"/>
      <c r="W28" s="3"/>
      <c r="X28" s="3"/>
    </row>
    <row r="29" spans="1:24" x14ac:dyDescent="0.25">
      <c r="A29" s="7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3"/>
      <c r="R29" s="3"/>
      <c r="S29" s="3"/>
      <c r="T29" s="3"/>
      <c r="U29" s="3"/>
      <c r="V29" s="3"/>
      <c r="W29" s="3"/>
      <c r="X29" s="3"/>
    </row>
    <row r="30" spans="1:24" x14ac:dyDescent="0.25">
      <c r="A30" s="6" t="s">
        <v>3</v>
      </c>
      <c r="B30" s="1"/>
      <c r="C30" s="1" t="s">
        <v>4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3"/>
      <c r="R30" s="3"/>
      <c r="S30" s="3"/>
      <c r="T30" s="3"/>
      <c r="U30" s="3"/>
      <c r="V30" s="3"/>
      <c r="W30" s="3"/>
      <c r="X30" s="3"/>
    </row>
    <row r="31" spans="1:24" x14ac:dyDescent="0.25">
      <c r="A31" s="1" t="s">
        <v>6</v>
      </c>
      <c r="B31" s="1"/>
      <c r="C31" s="1" t="s">
        <v>8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3"/>
      <c r="R31" s="3"/>
      <c r="S31" s="3"/>
      <c r="T31" s="3"/>
      <c r="U31" s="3"/>
      <c r="V31" s="3"/>
      <c r="W31" s="3"/>
      <c r="X31" s="3"/>
    </row>
    <row r="32" spans="1:24" x14ac:dyDescent="0.25">
      <c r="A32" s="1" t="s">
        <v>10</v>
      </c>
      <c r="B32" s="1"/>
      <c r="C32" s="1" t="s">
        <v>11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3"/>
      <c r="R32" s="3"/>
      <c r="S32" s="3"/>
      <c r="T32" s="3"/>
      <c r="U32" s="3"/>
      <c r="V32" s="3"/>
      <c r="W32" s="3"/>
      <c r="X32" s="3"/>
    </row>
    <row r="33" spans="1:24" x14ac:dyDescent="0.25">
      <c r="A33" s="1" t="s">
        <v>13</v>
      </c>
      <c r="B33" s="1"/>
      <c r="C33" s="1" t="s">
        <v>14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3"/>
      <c r="R33" s="3"/>
      <c r="S33" s="3"/>
      <c r="T33" s="3"/>
      <c r="U33" s="3"/>
      <c r="V33" s="3"/>
      <c r="W33" s="3"/>
      <c r="X33" s="3"/>
    </row>
    <row r="34" spans="1:24" x14ac:dyDescent="0.25">
      <c r="A34" s="1" t="s">
        <v>16</v>
      </c>
      <c r="B34" s="1"/>
      <c r="C34" s="1" t="s">
        <v>17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3"/>
      <c r="R34" s="3"/>
      <c r="S34" s="3"/>
      <c r="T34" s="3"/>
      <c r="U34" s="3"/>
      <c r="V34" s="3"/>
      <c r="W34" s="3"/>
      <c r="X34" s="3"/>
    </row>
    <row r="35" spans="1:24" x14ac:dyDescent="0.25">
      <c r="A35" s="1"/>
      <c r="B35" s="1"/>
      <c r="C35" s="1" t="s">
        <v>20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7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6" t="s">
        <v>3</v>
      </c>
      <c r="B37" s="1"/>
      <c r="C37" s="1" t="s">
        <v>4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1" t="s">
        <v>6</v>
      </c>
      <c r="B38" s="1"/>
      <c r="C38" s="1" t="s">
        <v>8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1" t="s">
        <v>10</v>
      </c>
      <c r="B39" s="1"/>
      <c r="C39" s="1" t="s">
        <v>11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1" t="s">
        <v>13</v>
      </c>
      <c r="B40" s="1"/>
      <c r="C40" s="1" t="s">
        <v>14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1" t="s">
        <v>16</v>
      </c>
      <c r="B41" s="1"/>
      <c r="C41" s="1" t="s">
        <v>17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3"/>
      <c r="R41" s="3"/>
      <c r="S41" s="3"/>
      <c r="T41" s="3"/>
      <c r="U41" s="3"/>
      <c r="V41" s="3"/>
      <c r="W41" s="3"/>
      <c r="X41" s="3"/>
    </row>
    <row r="42" spans="1:24" x14ac:dyDescent="0.25">
      <c r="A42" s="1"/>
      <c r="B42" s="1"/>
      <c r="C42" s="1" t="s">
        <v>20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3"/>
      <c r="R42" s="3"/>
      <c r="S42" s="3"/>
      <c r="T42" s="3"/>
      <c r="U42" s="3"/>
      <c r="V42" s="3"/>
      <c r="W42" s="3"/>
      <c r="X42" s="3"/>
    </row>
    <row r="43" spans="1:24" x14ac:dyDescent="0.25">
      <c r="A43" s="7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3"/>
      <c r="R43" s="3"/>
      <c r="S43" s="3"/>
      <c r="T43" s="3"/>
      <c r="U43" s="3"/>
      <c r="V43" s="3"/>
      <c r="W43" s="3"/>
      <c r="X43" s="3"/>
    </row>
    <row r="44" spans="1:24" x14ac:dyDescent="0.25">
      <c r="A44" s="6" t="s">
        <v>3</v>
      </c>
      <c r="B44" s="1"/>
      <c r="C44" s="1" t="s">
        <v>4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3"/>
      <c r="R44" s="3"/>
      <c r="S44" s="3"/>
      <c r="T44" s="3"/>
      <c r="U44" s="3"/>
      <c r="V44" s="3"/>
      <c r="W44" s="3"/>
      <c r="X44" s="3"/>
    </row>
    <row r="45" spans="1:24" x14ac:dyDescent="0.25">
      <c r="A45" s="1" t="s">
        <v>6</v>
      </c>
      <c r="B45" s="1"/>
      <c r="C45" s="1" t="s">
        <v>8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3"/>
      <c r="R45" s="3"/>
      <c r="S45" s="3"/>
      <c r="T45" s="3"/>
      <c r="U45" s="3"/>
      <c r="V45" s="3"/>
      <c r="W45" s="3"/>
      <c r="X45" s="3"/>
    </row>
    <row r="46" spans="1:24" x14ac:dyDescent="0.25">
      <c r="A46" s="1" t="s">
        <v>10</v>
      </c>
      <c r="B46" s="1"/>
      <c r="C46" s="1" t="s">
        <v>11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3"/>
      <c r="R46" s="3"/>
      <c r="S46" s="3"/>
      <c r="T46" s="3"/>
      <c r="U46" s="3"/>
      <c r="V46" s="3"/>
      <c r="W46" s="3"/>
      <c r="X46" s="3"/>
    </row>
    <row r="47" spans="1:24" x14ac:dyDescent="0.25">
      <c r="A47" s="1" t="s">
        <v>13</v>
      </c>
      <c r="B47" s="1"/>
      <c r="C47" s="1" t="s">
        <v>14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3"/>
      <c r="R47" s="3"/>
      <c r="S47" s="3"/>
      <c r="T47" s="3"/>
      <c r="U47" s="3"/>
      <c r="V47" s="3"/>
      <c r="W47" s="3"/>
      <c r="X47" s="3"/>
    </row>
    <row r="48" spans="1:24" x14ac:dyDescent="0.25">
      <c r="A48" s="1" t="s">
        <v>16</v>
      </c>
      <c r="B48" s="1"/>
      <c r="C48" s="1" t="s">
        <v>17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3"/>
      <c r="R48" s="3"/>
      <c r="S48" s="3"/>
      <c r="T48" s="3"/>
      <c r="U48" s="3"/>
      <c r="V48" s="3"/>
      <c r="W48" s="3"/>
      <c r="X48" s="3"/>
    </row>
    <row r="49" spans="1:24" x14ac:dyDescent="0.25">
      <c r="A49" s="1"/>
      <c r="B49" s="1"/>
      <c r="C49" s="1" t="s">
        <v>20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3"/>
      <c r="R49" s="3"/>
      <c r="S49" s="3"/>
      <c r="T49" s="3"/>
      <c r="U49" s="3"/>
      <c r="V49" s="3"/>
      <c r="W49" s="3"/>
      <c r="X49" s="3"/>
    </row>
    <row r="50" spans="1:24" x14ac:dyDescent="0.25">
      <c r="A50" s="7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3"/>
      <c r="R50" s="3"/>
      <c r="S50" s="3"/>
      <c r="T50" s="3"/>
      <c r="U50" s="3"/>
      <c r="V50" s="3"/>
      <c r="W50" s="3"/>
      <c r="X50" s="3"/>
    </row>
    <row r="51" spans="1:24" x14ac:dyDescent="0.25">
      <c r="A51" s="6" t="s">
        <v>3</v>
      </c>
      <c r="B51" s="1"/>
      <c r="C51" s="1" t="s">
        <v>4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3"/>
      <c r="R51" s="3"/>
      <c r="S51" s="3"/>
      <c r="T51" s="3"/>
      <c r="U51" s="3"/>
      <c r="V51" s="3"/>
      <c r="W51" s="3"/>
      <c r="X51" s="3"/>
    </row>
    <row r="52" spans="1:24" x14ac:dyDescent="0.25">
      <c r="A52" s="1" t="s">
        <v>6</v>
      </c>
      <c r="B52" s="1"/>
      <c r="C52" s="1" t="s">
        <v>8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3"/>
      <c r="R52" s="3"/>
      <c r="S52" s="3"/>
      <c r="T52" s="3"/>
      <c r="U52" s="3"/>
      <c r="V52" s="3"/>
      <c r="W52" s="3"/>
      <c r="X52" s="3"/>
    </row>
    <row r="53" spans="1:24" x14ac:dyDescent="0.25">
      <c r="A53" s="1" t="s">
        <v>10</v>
      </c>
      <c r="B53" s="1"/>
      <c r="C53" s="1" t="s">
        <v>11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3"/>
      <c r="R53" s="3"/>
      <c r="S53" s="3"/>
      <c r="T53" s="3"/>
      <c r="U53" s="3"/>
      <c r="V53" s="3"/>
      <c r="W53" s="3"/>
      <c r="X53" s="3"/>
    </row>
    <row r="54" spans="1:24" x14ac:dyDescent="0.25">
      <c r="A54" s="1" t="s">
        <v>13</v>
      </c>
      <c r="B54" s="1"/>
      <c r="C54" s="1" t="s">
        <v>14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3"/>
      <c r="R54" s="3"/>
      <c r="S54" s="3"/>
      <c r="T54" s="3"/>
      <c r="U54" s="3"/>
      <c r="V54" s="3"/>
      <c r="W54" s="3"/>
      <c r="X54" s="3"/>
    </row>
    <row r="55" spans="1:24" x14ac:dyDescent="0.25">
      <c r="A55" s="1" t="s">
        <v>16</v>
      </c>
      <c r="B55" s="1"/>
      <c r="C55" s="1" t="s">
        <v>17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3"/>
      <c r="R55" s="3"/>
      <c r="S55" s="3"/>
      <c r="T55" s="3"/>
      <c r="U55" s="3"/>
      <c r="V55" s="3"/>
      <c r="W55" s="3"/>
      <c r="X55" s="3"/>
    </row>
    <row r="56" spans="1:24" x14ac:dyDescent="0.25">
      <c r="A56" s="1"/>
      <c r="B56" s="1"/>
      <c r="C56" s="1" t="s">
        <v>20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3"/>
      <c r="R56" s="3"/>
      <c r="S56" s="3"/>
      <c r="T56" s="3"/>
      <c r="U56" s="3"/>
      <c r="V56" s="3"/>
      <c r="W56" s="3"/>
      <c r="X56" s="3"/>
    </row>
    <row r="57" spans="1:24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spans="1:24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spans="1:24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spans="1:24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spans="1:24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spans="1:24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spans="1:24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spans="1:24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spans="1:24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spans="1:24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spans="1:24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spans="1:24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spans="1:24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spans="1:24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spans="1:24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spans="1:24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spans="1:24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spans="1:24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spans="1:24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spans="1:24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spans="1:24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spans="1:24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spans="1:24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spans="1:24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spans="1:24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spans="1:24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spans="1:24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spans="1:24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spans="1:24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spans="1:24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spans="1:24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spans="1:24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spans="1:24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spans="1:24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spans="1:24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spans="1:24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spans="1:24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spans="1:24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spans="1:24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spans="1:24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spans="1:24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spans="1:24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spans="1:24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spans="1:24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spans="1:24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spans="1:24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spans="1:24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spans="1:24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spans="1:24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spans="1:24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spans="1:24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spans="1:24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spans="1:24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spans="1:24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spans="1:24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spans="1:24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spans="1:24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spans="1:24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spans="1:24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spans="1:24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spans="1:24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spans="1:24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spans="1:24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spans="1:24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spans="1:24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spans="1:24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spans="1:24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spans="1:24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spans="1:24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spans="1:24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spans="1:24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spans="1:24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spans="1:24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spans="1:24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spans="1:24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spans="1:24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spans="1:24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spans="1:24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spans="1:24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spans="1:24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spans="1:24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spans="1:24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spans="1:24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spans="1:24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spans="1:24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spans="1:24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spans="1:24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spans="1:24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spans="1:24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spans="1:24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spans="1:24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spans="1:24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spans="1:24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spans="1:24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spans="1:24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spans="1:24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spans="1:24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spans="1:24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spans="1:24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spans="1:24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spans="1:24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spans="1:24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spans="1:24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spans="1:24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spans="1:24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spans="1:24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spans="1:24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spans="1:24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spans="1:24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spans="1:24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spans="1:24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spans="1:24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spans="1:24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spans="1:24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spans="1:24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spans="1:24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spans="1:24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spans="1:24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spans="1:24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spans="1:24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spans="1:24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spans="1:24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spans="1:24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spans="1:24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spans="1:24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spans="1:24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spans="1:24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spans="1:24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spans="1:24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spans="1:24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spans="1:24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spans="1:24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spans="1:24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spans="1:24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spans="1:24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spans="1:24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spans="1:24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spans="1:24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spans="1:24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spans="1:24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spans="1:24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spans="1:24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spans="1:24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spans="1:24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spans="1:24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spans="1:24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spans="1:24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spans="1:24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spans="1:24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spans="1:24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spans="1:24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spans="1:24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spans="1:24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spans="1:24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spans="1:24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spans="1:24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spans="1:24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spans="1:24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spans="1:24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spans="1:24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spans="1:24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spans="1:24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spans="1:24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spans="1:24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spans="1:24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spans="1:24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spans="1:24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spans="1:24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spans="1:24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spans="1:24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spans="1:24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spans="1:24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spans="1:24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spans="1:24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spans="1:24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spans="1:24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spans="1:24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spans="1:24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spans="1:24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spans="1:24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spans="1:24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spans="1:24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spans="1:24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spans="1:24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spans="1:24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spans="1:24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spans="1:24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spans="1:24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spans="1:24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spans="1:24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spans="1:24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spans="1:24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spans="1:24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spans="1:24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spans="1:24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spans="1:24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spans="1:24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spans="1:24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spans="1:24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spans="1:24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spans="1:24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spans="1:24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spans="1:24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spans="1:24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spans="1:24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spans="1:24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spans="1:24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spans="1:24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spans="1:24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spans="1:24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spans="1:24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spans="1:24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spans="1:24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spans="1:24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spans="1:24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spans="1:24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spans="1:24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spans="1:24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spans="1:24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spans="1:24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spans="1:24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spans="1:24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spans="1:24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spans="1:24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spans="1:24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spans="1:24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spans="1:24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spans="1:24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spans="1:24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spans="1:24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spans="1:24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spans="1:24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spans="1:24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spans="1:24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spans="1:24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spans="1:24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spans="1:24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spans="1:24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spans="1:24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spans="1:24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spans="1:24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spans="1:24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spans="1:24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spans="1:24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spans="1:24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spans="1:24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spans="1:24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spans="1:24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spans="1:24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spans="1:24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spans="1:24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spans="1:24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spans="1:24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spans="1:24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spans="1:24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spans="1:24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spans="1:24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spans="1:24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spans="1:24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spans="1:24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spans="1:24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spans="1:24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spans="1:24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spans="1:24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spans="1:24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spans="1:24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spans="1:24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spans="1:24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spans="1:24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spans="1:24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spans="1:24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spans="1:24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spans="1:24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spans="1:24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spans="1:24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spans="1:24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spans="1:24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spans="1:24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spans="1:24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spans="1:24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spans="1:24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spans="1:24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spans="1:24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spans="1:24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spans="1:24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spans="1:24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spans="1:24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spans="1:24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spans="1:24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spans="1:24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spans="1:24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spans="1:24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spans="1:24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spans="1:24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spans="1:24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spans="1:24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spans="1:24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spans="1:24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spans="1:24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spans="1:24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spans="1:24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spans="1:24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spans="1:24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spans="1:24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spans="1:24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spans="1:24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spans="1:24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spans="1:24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spans="1:24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spans="1:24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spans="1:24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spans="1:24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spans="1:24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spans="1:24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spans="1:24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spans="1:24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spans="1:24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spans="1:24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spans="1:24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spans="1:24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spans="1:24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spans="1:24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spans="1:24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spans="1:24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spans="1:24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spans="1:24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spans="1:24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spans="1:24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spans="1:24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spans="1:24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spans="1:24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spans="1:24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spans="1:24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spans="1:24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spans="1:24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spans="1:24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spans="1:24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spans="1:24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spans="1:24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spans="1:24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spans="1:24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spans="1:24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spans="1:24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spans="1:24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spans="1:24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spans="1:24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spans="1:24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spans="1:24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spans="1:24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spans="1:24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spans="1:24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spans="1:24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spans="1:24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spans="1:24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spans="1:24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spans="1:24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spans="1:24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spans="1:24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spans="1:24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spans="1:24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spans="1:24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spans="1:24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spans="1:24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spans="1:24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spans="1:24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spans="1:24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spans="1:24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spans="1:24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spans="1:24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spans="1:24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spans="1:24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spans="1:24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spans="1:24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spans="1:24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spans="1:24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spans="1:24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spans="1:24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spans="1:24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spans="1:24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spans="1:24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spans="1:24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spans="1:24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spans="1:24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spans="1:24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spans="1:24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spans="1:24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spans="1:24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spans="1:24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spans="1:24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spans="1:24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spans="1:24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spans="1:24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spans="1:24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spans="1:24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spans="1:24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spans="1:24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spans="1:24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spans="1:24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spans="1:24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spans="1:24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spans="1:24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spans="1:24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spans="1:24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spans="1:24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spans="1:24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spans="1:24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spans="1:24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spans="1:24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spans="1:24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spans="1:24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spans="1:24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spans="1:24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spans="1:24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spans="1:24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spans="1:24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spans="1:24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spans="1:24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spans="1:24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spans="1:24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spans="1:24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spans="1:24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spans="1:24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spans="1:24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spans="1:24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spans="1:24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spans="1:24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spans="1:24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spans="1:24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spans="1:24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spans="1:24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spans="1:24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spans="1:24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spans="1:24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spans="1:24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spans="1:24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spans="1:24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spans="1:24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spans="1:24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spans="1:24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spans="1:24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spans="1:24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spans="1:24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spans="1:24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spans="1:24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spans="1:24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spans="1:24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spans="1:24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spans="1:24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spans="1:24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spans="1:24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spans="1:24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spans="1:24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spans="1:24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spans="1:24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spans="1:24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spans="1:24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spans="1:24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spans="1:24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spans="1:24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spans="1:24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spans="1:24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spans="1:24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spans="1:24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spans="1:24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spans="1:24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spans="1:24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spans="1:24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spans="1:24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spans="1:24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spans="1:24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spans="1:24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spans="1:24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spans="1:24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spans="1:24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spans="1:24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spans="1:24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spans="1:24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spans="1:24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spans="1:24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spans="1:24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spans="1:24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spans="1:24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spans="1:24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spans="1:24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spans="1:24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spans="1:24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spans="1:24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spans="1:24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spans="1:24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spans="1:24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spans="1:24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spans="1:24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spans="1:24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spans="1:24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spans="1:24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spans="1:24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spans="1:24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spans="1:24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spans="1:24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spans="1:24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spans="1:24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spans="1:24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spans="1:24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spans="1:24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spans="1:24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spans="1:24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spans="1:24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spans="1:24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spans="1:24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spans="1:24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spans="1:24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spans="1:24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spans="1:24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spans="1:24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spans="1:24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spans="1:24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spans="1:24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spans="1:24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spans="1:24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spans="1:24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spans="1:24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spans="1:24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spans="1:24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spans="1:24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spans="1:24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spans="1:24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spans="1:24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spans="1:24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spans="1:24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spans="1:24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spans="1:24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spans="1:24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spans="1:24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spans="1:24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spans="1:24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spans="1:24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spans="1:24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spans="1:24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spans="1:24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spans="1:24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spans="1:24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spans="1:24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spans="1:24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spans="1:24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spans="1:24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spans="1:24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spans="1:24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spans="1:24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spans="1:24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spans="1:24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spans="1:24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spans="1:24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spans="1:24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spans="1:24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spans="1:24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spans="1:24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spans="1:24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spans="1:24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spans="1:24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spans="1:24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spans="1:24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spans="1:24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spans="1:24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spans="1:24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spans="1:24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spans="1:24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spans="1:24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spans="1:24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spans="1:24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spans="1:24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spans="1:24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spans="1:24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spans="1:24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spans="1:24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spans="1:24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spans="1:24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spans="1:24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spans="1:24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spans="1:24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spans="1:24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spans="1:24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spans="1:24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spans="1:24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spans="1:24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spans="1:24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spans="1:24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spans="1:24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spans="1:24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spans="1:24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spans="1:24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spans="1:24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spans="1:24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spans="1:24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spans="1:24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spans="1:24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spans="1:24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spans="1:24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spans="1:24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spans="1:24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spans="1:24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spans="1:24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spans="1:24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spans="1:24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spans="1:24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spans="1:24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spans="1:24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spans="1:24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spans="1:24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spans="1:24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spans="1:24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spans="1:24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spans="1:24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spans="1:24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spans="1:24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spans="1:24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spans="1:24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spans="1:24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spans="1:24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spans="1:24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spans="1:24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spans="1:24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spans="1:24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spans="1:24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spans="1:24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spans="1:24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spans="1:24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spans="1:24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spans="1:24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spans="1:24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spans="1:24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spans="1:24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spans="1:24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spans="1:24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spans="1:24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spans="1:24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spans="1:24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spans="1:24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spans="1:24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spans="1:24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spans="1:24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spans="1:24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spans="1:24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spans="1:24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spans="1:24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spans="1:24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spans="1:24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spans="1:24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spans="1:24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spans="1:24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spans="1:24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spans="1:24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spans="1:24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spans="1:24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spans="1:24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spans="1:24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spans="1:24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spans="1:24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spans="1:24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spans="1:24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spans="1:24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spans="1:24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spans="1:24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spans="1:24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spans="1:24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spans="1:24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spans="1:24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spans="1:24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spans="1:24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spans="1:24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spans="1:24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spans="1:24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spans="1:24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spans="1:24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spans="1:24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spans="1:24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spans="1:24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spans="1:24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spans="1:24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spans="1:24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spans="1:24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spans="1:24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spans="1:24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spans="1:24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spans="1:24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spans="1:24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spans="1:24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spans="1:24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spans="1:24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spans="1:24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spans="1:24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spans="1:24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spans="1:24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spans="1:24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spans="1:24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spans="1:24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spans="1:24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spans="1:24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spans="1:24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spans="1:24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spans="1:24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spans="1:24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spans="1:24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spans="1:24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spans="1:24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spans="1:24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spans="1:24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spans="1:24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spans="1:24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spans="1:24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spans="1:24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spans="1:24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spans="1:24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spans="1:24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spans="1:24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spans="1:24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spans="1:24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spans="1:24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spans="1:24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spans="1:24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spans="1:24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spans="1:24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spans="1:24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spans="1:24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spans="1:24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spans="1:24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spans="1:24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spans="1:24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spans="1:24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spans="1:24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spans="1:24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spans="1:24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spans="1:24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spans="1:24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spans="1:24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spans="1:24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spans="1:24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spans="1:24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spans="1:24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spans="1:24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spans="1:24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spans="1:24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spans="1:24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spans="1:24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spans="1:24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spans="1:24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spans="1:24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spans="1:24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spans="1:24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spans="1:24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spans="1:24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spans="1:24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spans="1:24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spans="1:24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spans="1:24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spans="1:24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spans="1:24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spans="1:24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spans="1:24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spans="1:24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spans="1:24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spans="1:24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spans="1:24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spans="1:24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spans="1:24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spans="1:24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spans="1:24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spans="1:24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spans="1:24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spans="1:24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spans="1:24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spans="1:24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spans="1:24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spans="1:24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spans="1:24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spans="1:24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spans="1:24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spans="1:24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spans="1:24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spans="1:24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spans="1:24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spans="1:24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spans="1:24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spans="1:24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spans="1:24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spans="1:24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spans="1:24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spans="1:24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spans="1:24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spans="1:24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spans="1:24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spans="1:24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spans="1:24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spans="1:24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spans="1:24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spans="1:24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spans="1:24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spans="1:24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spans="1:24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spans="1:24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spans="1:24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spans="1:24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spans="1:24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spans="1:24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spans="1:24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spans="1:24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spans="1:24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spans="1:24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spans="1:24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spans="1:24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spans="1:24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spans="1:24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spans="1:24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spans="1:24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spans="1:24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spans="1:24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spans="1:24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spans="1:24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spans="1:24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spans="1:24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spans="1:24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spans="1:24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spans="1:24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spans="1:24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spans="1:24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spans="1:24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spans="1:24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spans="1:24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spans="1:24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spans="1:24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spans="1:24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spans="1:24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spans="1:24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spans="1:24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spans="1:24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spans="1:24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spans="1:24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spans="1:24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spans="1:24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spans="1:24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spans="1:24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spans="1:24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spans="1:24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spans="1:24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spans="1:24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spans="1:24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spans="1:24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spans="1:24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spans="1:24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spans="1:24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spans="1:24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spans="1:24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spans="1:24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spans="1:24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spans="1:24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spans="1:24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spans="1:24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spans="1:24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spans="1:24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spans="1:24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spans="1:24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spans="1:24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spans="1:24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spans="1:24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spans="1:24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spans="1:24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spans="1:24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spans="1:24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spans="1:24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spans="1:24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spans="1:24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spans="1:24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spans="1:24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spans="1:24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spans="1:24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spans="1:24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spans="1:24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spans="1:24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spans="1:24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spans="1:24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spans="1:24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spans="1:24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spans="1:24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spans="1:24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spans="1:24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spans="1:24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spans="1:24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spans="1:24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spans="1:24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spans="1:24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spans="1:24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spans="1:24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spans="1:24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spans="1:24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spans="1:24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spans="1:24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spans="1:24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spans="1:24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spans="1:24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spans="1:24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spans="1:24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spans="1:24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spans="1:24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spans="1:24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spans="1:24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spans="1:24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spans="1:24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spans="1:24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spans="1:24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spans="1:24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spans="1:24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spans="1:24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spans="1:24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spans="1:24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spans="1:24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spans="1:24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spans="1:24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spans="1:24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spans="1:24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spans="1:24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spans="1:24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spans="1:24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spans="1:24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spans="1:24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spans="1:24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spans="1:24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spans="1:24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spans="1:24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spans="1:24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spans="1:24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spans="1:24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spans="1:24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spans="1:24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spans="1:24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spans="1:24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spans="1:24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spans="1:24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spans="1:24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spans="1:24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spans="1:24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spans="1:24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spans="1:24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spans="1:24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spans="1:24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Planeacion agregada</vt:lpstr>
      <vt:lpstr>MRP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Cruz Mondino</cp:lastModifiedBy>
  <dcterms:modified xsi:type="dcterms:W3CDTF">2026-09-17T23:23:50Z</dcterms:modified>
</cp:coreProperties>
</file>